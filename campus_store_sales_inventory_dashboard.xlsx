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ory" sheetId="2" state="visible" r:id="rId4"/>
    <sheet name="Sales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<sst xmlns="http://schemas.openxmlformats.org/spreadsheetml/2006/main" count="356" uniqueCount="96">
  <si>
    <t xml:space="preserve">CRESTWOOD UNIVERSITY CAMPUS STORE</t>
  </si>
  <si>
    <t xml:space="preserve">Sales &amp; Inventory Performance Dashboard  |  Spring Semester 2026</t>
  </si>
  <si>
    <t xml:space="preserve">TOTAL REVENUE</t>
  </si>
  <si>
    <t xml:space="preserve">UNITS SOLD</t>
  </si>
  <si>
    <t xml:space="preserve">AVG ORDER VALUE</t>
  </si>
  <si>
    <t xml:space="preserve">ITEMS TO REORDER</t>
  </si>
  <si>
    <t xml:space="preserve">Spring semester to date</t>
  </si>
  <si>
    <t xml:space="preserve">Across all categories</t>
  </si>
  <si>
    <t xml:space="preserve">Per transaction</t>
  </si>
  <si>
    <t xml:space="preserve">Below reorder threshold</t>
  </si>
  <si>
    <t xml:space="preserve">REVENUE BY CATEGORY</t>
  </si>
  <si>
    <t xml:space="preserve">MONTHLY REVENUE TREND</t>
  </si>
  <si>
    <t xml:space="preserve">STOCK STATUS</t>
  </si>
  <si>
    <t xml:space="preserve">Category</t>
  </si>
  <si>
    <t xml:space="preserve">Revenue</t>
  </si>
  <si>
    <t xml:space="preserve">% of Total</t>
  </si>
  <si>
    <t xml:space="preserve">Month</t>
  </si>
  <si>
    <t xml:space="preserve">Transactions</t>
  </si>
  <si>
    <t xml:space="preserve">Status</t>
  </si>
  <si>
    <t xml:space="preserve">Count</t>
  </si>
  <si>
    <t xml:space="preserve">_ProductID</t>
  </si>
  <si>
    <t xml:space="preserve">_Revenue</t>
  </si>
  <si>
    <t xml:space="preserve">Textbooks</t>
  </si>
  <si>
    <t xml:space="preserve">Jan</t>
  </si>
  <si>
    <t xml:space="preserve">OK</t>
  </si>
  <si>
    <t xml:space="preserve">CS-2001</t>
  </si>
  <si>
    <t xml:space="preserve">Apparel &amp; Spirit Wear</t>
  </si>
  <si>
    <t xml:space="preserve">Feb</t>
  </si>
  <si>
    <t xml:space="preserve">REORDER</t>
  </si>
  <si>
    <t xml:space="preserve">CS-2002</t>
  </si>
  <si>
    <t xml:space="preserve">Electronics &amp; Supplies</t>
  </si>
  <si>
    <t xml:space="preserve">Mar</t>
  </si>
  <si>
    <t xml:space="preserve">CS-2003</t>
  </si>
  <si>
    <t xml:space="preserve">Dining &amp; Snacks</t>
  </si>
  <si>
    <t xml:space="preserve">Apr</t>
  </si>
  <si>
    <t xml:space="preserve">CS-2004</t>
  </si>
  <si>
    <t xml:space="preserve">Dorm Essentials</t>
  </si>
  <si>
    <t xml:space="preserve">May</t>
  </si>
  <si>
    <t xml:space="preserve">CS-2005</t>
  </si>
  <si>
    <t xml:space="preserve">School Supplies</t>
  </si>
  <si>
    <t xml:space="preserve">Jun</t>
  </si>
  <si>
    <t xml:space="preserve">CS-2006</t>
  </si>
  <si>
    <t xml:space="preserve">CS-2007</t>
  </si>
  <si>
    <t xml:space="preserve">CS-2008</t>
  </si>
  <si>
    <t xml:space="preserve">TOP 5 PRODUCTS BY REVENUE</t>
  </si>
  <si>
    <t xml:space="preserve">CS-2009</t>
  </si>
  <si>
    <t xml:space="preserve">Rank</t>
  </si>
  <si>
    <t xml:space="preserve">Product Name</t>
  </si>
  <si>
    <t xml:space="preserve">Units Sold</t>
  </si>
  <si>
    <t xml:space="preserve">CS-2010</t>
  </si>
  <si>
    <t xml:space="preserve">CS-2011</t>
  </si>
  <si>
    <t xml:space="preserve">CS-2012</t>
  </si>
  <si>
    <t xml:space="preserve">CS-2013</t>
  </si>
  <si>
    <t xml:space="preserve">CS-2014</t>
  </si>
  <si>
    <t xml:space="preserve">CS-2015</t>
  </si>
  <si>
    <t xml:space="preserve">CS-2016</t>
  </si>
  <si>
    <t xml:space="preserve">Note: Top-5 ranking is fully formula-driven (SUMIF + LARGE + INDEX/MATCH) and recalculates automatically as Sales Log data changes.</t>
  </si>
  <si>
    <t xml:space="preserve">CS-2017</t>
  </si>
  <si>
    <t xml:space="preserve">CS-2018</t>
  </si>
  <si>
    <t xml:space="preserve">Inventory Register  |  Academic Year 2025 - 2026</t>
  </si>
  <si>
    <t xml:space="preserve">Product ID</t>
  </si>
  <si>
    <t xml:space="preserve">Unit Price</t>
  </si>
  <si>
    <t xml:space="preserve">Stock Qty</t>
  </si>
  <si>
    <t xml:space="preserve">Reorder Level</t>
  </si>
  <si>
    <t xml:space="preserve">Stock Value</t>
  </si>
  <si>
    <t xml:space="preserve">Last Updated</t>
  </si>
  <si>
    <t xml:space="preserve">Intro to Psychology (Textbook)</t>
  </si>
  <si>
    <t xml:space="preserve">Calculus II Course Pack</t>
  </si>
  <si>
    <t xml:space="preserve">Organic Chemistry Manual</t>
  </si>
  <si>
    <t xml:space="preserve">Crestwood Hoodie</t>
  </si>
  <si>
    <t xml:space="preserve">Campus Store T-Shirt</t>
  </si>
  <si>
    <t xml:space="preserve">Varsity Cap</t>
  </si>
  <si>
    <t xml:space="preserve">Scientific Calculator</t>
  </si>
  <si>
    <t xml:space="preserve">USB-C Charging Cable</t>
  </si>
  <si>
    <t xml:space="preserve">Wireless Mouse</t>
  </si>
  <si>
    <t xml:space="preserve">Energy Drink 4pk</t>
  </si>
  <si>
    <t xml:space="preserve">Trail Mix Bag</t>
  </si>
  <si>
    <t xml:space="preserve">Instant Ramen 6pk</t>
  </si>
  <si>
    <t xml:space="preserve">Twin XL Bedsheet Set</t>
  </si>
  <si>
    <t xml:space="preserve">Desk Lamp</t>
  </si>
  <si>
    <t xml:space="preserve">Mini Fridge</t>
  </si>
  <si>
    <t xml:space="preserve">Spiral Notebook 5pk</t>
  </si>
  <si>
    <t xml:space="preserve">Mechanical Pencil Set</t>
  </si>
  <si>
    <t xml:space="preserve">Highlighter Pack</t>
  </si>
  <si>
    <t xml:space="preserve">Summary</t>
  </si>
  <si>
    <t xml:space="preserve">Total SKUs</t>
  </si>
  <si>
    <t xml:space="preserve">Total Stock Value</t>
  </si>
  <si>
    <t xml:space="preserve">Items Needing Reorder</t>
  </si>
  <si>
    <t xml:space="preserve">Point-of-Sale Transaction Log  |  Spring Semester 2026</t>
  </si>
  <si>
    <t xml:space="preserve">Date</t>
  </si>
  <si>
    <t xml:space="preserve">Qty Sold</t>
  </si>
  <si>
    <t xml:space="preserve">Payment Method</t>
  </si>
  <si>
    <t xml:space="preserve">Student ID Card</t>
  </si>
  <si>
    <t xml:space="preserve">Mobile Pay</t>
  </si>
  <si>
    <t xml:space="preserve">Credit Card</t>
  </si>
  <si>
    <t xml:space="preserve">Cash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</si>
</sst>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%"/>
    <numFmt numFmtId="168" formatCode="mm/dd/yyyy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sz val="12"/>
      <color rgb="FFC8A9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C8A951"/>
      <name val="Arial"/>
      <family val="0"/>
      <charset val="1"/>
    </font>
    <font>
      <b val="true"/>
      <sz val="13"/>
      <color rgb="FF13294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94B"/>
        <bgColor rgb="FF0B1A30"/>
      </patternFill>
    </fill>
    <fill>
      <patternFill patternType="solid">
        <fgColor rgb="FF1E4272"/>
        <bgColor rgb="FF2C5490"/>
      </patternFill>
    </fill>
    <fill>
      <patternFill patternType="solid">
        <fgColor rgb="FF2C5490"/>
        <bgColor rgb="FF1E4272"/>
      </patternFill>
    </fill>
    <fill>
      <patternFill patternType="solid">
        <fgColor rgb="FF0B1A30"/>
        <bgColor rgb="FF13294B"/>
      </patternFill>
    </fill>
    <fill>
      <patternFill patternType="solid">
        <fgColor rgb="FFF2F4F7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3294B"/>
      </left>
      <right/>
      <top style="medium">
        <color rgb="FF13294B"/>
      </top>
      <bottom style="medium">
        <color rgb="FF13294B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B00020"/>
      </font>
      <fill>
        <patternFill>
          <bgColor rgb="FFFCE1E1"/>
        </patternFill>
      </fill>
    </dxf>
    <dxf>
      <font>
        <b val="1"/>
        <color rgb="FF1E7A34"/>
      </font>
      <fill>
        <patternFill>
          <bgColor rgb="FFE3F5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1E7A34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E3F5E6"/>
      <rgbColor rgb="FF660066"/>
      <rgbColor rgb="FFFF8080"/>
      <rgbColor rgb="FF2C5490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CE1E1"/>
      <rgbColor rgb="FF4F81BD"/>
      <rgbColor rgb="FF33CCCC"/>
      <rgbColor rgb="FF99CC00"/>
      <rgbColor rgb="FFFFCC00"/>
      <rgbColor rgb="FFFF9900"/>
      <rgbColor rgb="FFFF6600"/>
      <rgbColor rgb="FF5A6472"/>
      <rgbColor rgb="FFC8A951"/>
      <rgbColor rgb="FF13294B"/>
      <rgbColor rgb="FF339966"/>
      <rgbColor rgb="FF0B1A30"/>
      <rgbColor rgb="FF333300"/>
      <rgbColor rgb="FF993300"/>
      <rgbColor rgb="FFC0504D"/>
      <rgbColor rgb="FF1E427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Dashboard!$B$12:$B$17</c:f>
              <c:strCache>
                <c:ptCount val="6"/>
                <c:pt idx="0">
                  <c:v>Textbooks</c:v>
                </c:pt>
                <c:pt idx="1">
                  <c:v>Apparel &amp; Spirit Wear</c:v>
                </c:pt>
                <c:pt idx="2">
                  <c:v>Electronics &amp; Supplies</c:v>
                </c:pt>
                <c:pt idx="3">
                  <c:v>Dining &amp; Snacks</c:v>
                </c:pt>
                <c:pt idx="4">
                  <c:v>Dorm Essentials</c:v>
                </c:pt>
                <c:pt idx="5">
                  <c:v>School Supplies</c:v>
                </c:pt>
              </c:strCache>
            </c:strRef>
          </c:cat>
          <c:val>
            <c:numRef>
              <c:f>Dashboard!$C$12:$C$17</c:f>
              <c:numCache>
                <c:formatCode>\$#,##0.00</c:formatCode>
                <c:ptCount val="6"/>
                <c:pt idx="0">
                  <c:v>17530.49</c:v>
                </c:pt>
                <c:pt idx="1">
                  <c:v>3793.39</c:v>
                </c:pt>
                <c:pt idx="2">
                  <c:v>3164.41</c:v>
                </c:pt>
                <c:pt idx="3">
                  <c:v>1077.34</c:v>
                </c:pt>
                <c:pt idx="4">
                  <c:v>12697.2</c:v>
                </c:pt>
                <c:pt idx="5">
                  <c:v>1413.09</c:v>
                </c:pt>
              </c:numCache>
            </c:numRef>
          </c:val>
        </c:ser>
        <c:gapWidth val="150"/>
        <c:overlap val="0"/>
        <c:axId val="69796468"/>
        <c:axId val="85965044"/>
      </c:barChart>
      <c:catAx>
        <c:axId val="69796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65044"/>
        <c:crosses val="autoZero"/>
        <c:auto val="1"/>
        <c:lblAlgn val="ctr"/>
        <c:lblOffset val="100"/>
        <c:noMultiLvlLbl val="0"/>
      </c:catAx>
      <c:valAx>
        <c:axId val="85965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96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Dashboard!$G$12:$G$17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Dashboard!$H$12:$H$17</c:f>
              <c:numCache>
                <c:formatCode>\$#,##0.00</c:formatCode>
                <c:ptCount val="6"/>
                <c:pt idx="0">
                  <c:v>7725.1</c:v>
                </c:pt>
                <c:pt idx="1">
                  <c:v>8842.07</c:v>
                </c:pt>
                <c:pt idx="2">
                  <c:v>5689.62</c:v>
                </c:pt>
                <c:pt idx="3">
                  <c:v>7296.11</c:v>
                </c:pt>
                <c:pt idx="4">
                  <c:v>7934.75</c:v>
                </c:pt>
                <c:pt idx="5">
                  <c:v>2188.27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510037"/>
        <c:axId val="7523154"/>
      </c:lineChart>
      <c:catAx>
        <c:axId val="565100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3154"/>
        <c:crosses val="autoZero"/>
        <c:auto val="1"/>
        <c:lblAlgn val="ctr"/>
        <c:lblOffset val="100"/>
        <c:noMultiLvlLbl val="0"/>
      </c:catAx>
      <c:valAx>
        <c:axId val="75231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100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Status 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Dashboard!L11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Dashboard!$K$12:$K$13</c:f>
              <c:strCache>
                <c:ptCount val="2"/>
                <c:pt idx="0">
                  <c:v>OK</c:v>
                </c:pt>
                <c:pt idx="1">
                  <c:v>REORDER</c:v>
                </c:pt>
              </c:strCache>
            </c:strRef>
          </c:cat>
          <c:val>
            <c:numRef>
              <c:f>Dashboard!$L$12:$L$13</c:f>
              <c:numCache>
                <c:formatCode>General</c:formatCode>
                <c:ptCount val="2"/>
                <c:pt idx="0">
                  <c:v>11</c:v>
                </c:pt>
                <c:pt idx="1">
                  <c:v>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161280</xdr:rowOff>
    </xdr:from>
    <xdr:to>
      <xdr:col>8</xdr:col>
      <xdr:colOff>433080</xdr:colOff>
      <xdr:row>48</xdr:row>
      <xdr:rowOff>141480</xdr:rowOff>
    </xdr:to>
    <xdr:graphicFrame>
      <xdr:nvGraphicFramePr>
        <xdr:cNvPr id="0" name="Chart 1"/>
        <xdr:cNvGraphicFramePr/>
      </xdr:nvGraphicFramePr>
      <xdr:xfrm>
        <a:off x="211320" y="6276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161280</xdr:rowOff>
    </xdr:from>
    <xdr:to>
      <xdr:col>18</xdr:col>
      <xdr:colOff>55800</xdr:colOff>
      <xdr:row>48</xdr:row>
      <xdr:rowOff>141480</xdr:rowOff>
    </xdr:to>
    <xdr:graphicFrame>
      <xdr:nvGraphicFramePr>
        <xdr:cNvPr id="1" name="Chart 2"/>
        <xdr:cNvGraphicFramePr/>
      </xdr:nvGraphicFramePr>
      <xdr:xfrm>
        <a:off x="5991120" y="62769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50</xdr:row>
      <xdr:rowOff>161280</xdr:rowOff>
    </xdr:from>
    <xdr:to>
      <xdr:col>6</xdr:col>
      <xdr:colOff>536040</xdr:colOff>
      <xdr:row>69</xdr:row>
      <xdr:rowOff>141480</xdr:rowOff>
    </xdr:to>
    <xdr:graphicFrame>
      <xdr:nvGraphicFramePr>
        <xdr:cNvPr id="2" name="Chart 3"/>
        <xdr:cNvGraphicFramePr/>
      </xdr:nvGraphicFramePr>
      <xdr:xfrm>
        <a:off x="211320" y="10277640"/>
        <a:ext cx="53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11" min="9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6"/>
    <col collapsed="false" customWidth="true" hidden="true" outlineLevel="0" max="17" min="16" style="0" width="13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5" customFormat="false" ht="18" hidden="false" customHeight="true" outlineLevel="0" collapsed="false">
      <c r="B5" s="4" t="s">
        <v>2</v>
      </c>
      <c r="C5" s="4"/>
      <c r="D5" s="4"/>
      <c r="E5" s="5" t="s">
        <v>3</v>
      </c>
      <c r="F5" s="5"/>
      <c r="G5" s="5"/>
      <c r="H5" s="6" t="s">
        <v>4</v>
      </c>
      <c r="I5" s="6"/>
      <c r="J5" s="6"/>
      <c r="K5" s="7" t="s">
        <v>5</v>
      </c>
      <c r="L5" s="7"/>
      <c r="M5" s="7"/>
    </row>
    <row r="6" customFormat="false" ht="30" hidden="false" customHeight="true" outlineLevel="0" collapsed="false">
      <c r="B6" s="8" t="n">
        <f aca="false">SUM('Sales Log'!H5:H111)</f>
        <v>39675.92</v>
      </c>
      <c r="C6" s="8"/>
      <c r="D6" s="8"/>
      <c r="E6" s="9" t="n">
        <f aca="false">SUM('Sales Log'!F5:F111)</f>
        <v>1041</v>
      </c>
      <c r="F6" s="9"/>
      <c r="G6" s="9"/>
      <c r="H6" s="10" t="n">
        <f aca="false">B6/E6</f>
        <v>38.1132756964457</v>
      </c>
      <c r="I6" s="10"/>
      <c r="J6" s="10"/>
      <c r="K6" s="11" t="n">
        <f aca="false">Inventory!B27</f>
        <v>7</v>
      </c>
      <c r="L6" s="11"/>
      <c r="M6" s="11"/>
    </row>
    <row r="7" customFormat="false" ht="15.75" hidden="false" customHeight="true" outlineLevel="0" collapsed="false">
      <c r="B7" s="12" t="s">
        <v>6</v>
      </c>
      <c r="C7" s="12"/>
      <c r="D7" s="12"/>
      <c r="E7" s="13" t="s">
        <v>7</v>
      </c>
      <c r="F7" s="13"/>
      <c r="G7" s="13"/>
      <c r="H7" s="14" t="s">
        <v>8</v>
      </c>
      <c r="I7" s="14"/>
      <c r="J7" s="14"/>
      <c r="K7" s="15" t="s">
        <v>9</v>
      </c>
      <c r="L7" s="15"/>
      <c r="M7" s="15"/>
    </row>
    <row r="10" customFormat="false" ht="16.15" hidden="false" customHeight="false" outlineLevel="0" collapsed="false">
      <c r="B10" s="16" t="s">
        <v>10</v>
      </c>
      <c r="G10" s="16" t="s">
        <v>11</v>
      </c>
      <c r="K10" s="16" t="s">
        <v>12</v>
      </c>
    </row>
    <row r="11" customFormat="false" ht="15" hidden="false" customHeight="false" outlineLevel="0" collapsed="false">
      <c r="B11" s="17" t="s">
        <v>13</v>
      </c>
      <c r="C11" s="17" t="s">
        <v>14</v>
      </c>
      <c r="D11" s="17" t="s">
        <v>15</v>
      </c>
      <c r="G11" s="17" t="s">
        <v>16</v>
      </c>
      <c r="H11" s="17" t="s">
        <v>14</v>
      </c>
      <c r="I11" s="17" t="s">
        <v>17</v>
      </c>
      <c r="K11" s="17" t="s">
        <v>18</v>
      </c>
      <c r="L11" s="17" t="s">
        <v>19</v>
      </c>
      <c r="P11" s="18" t="s">
        <v>20</v>
      </c>
      <c r="Q11" s="18" t="s">
        <v>21</v>
      </c>
    </row>
    <row r="12" customFormat="false" ht="15" hidden="false" customHeight="false" outlineLevel="0" collapsed="false">
      <c r="B12" s="19" t="s">
        <v>22</v>
      </c>
      <c r="C12" s="20" t="n">
        <f aca="false">SUMIF('Sales Log'!$E$5:$E$111,B12,'Sales Log'!$H$5:$H$111)</f>
        <v>17530.49</v>
      </c>
      <c r="D12" s="21" t="n">
        <f aca="false">C12/$B$6</f>
        <v>0.441842054324134</v>
      </c>
      <c r="G12" s="19" t="s">
        <v>23</v>
      </c>
      <c r="H12" s="20" t="n">
        <f aca="false">SUMIF('Sales Log'!$B$5:$B$111,G12,'Sales Log'!$H$5:$H$111)</f>
        <v>7725.1</v>
      </c>
      <c r="I12" s="19" t="n">
        <f aca="false">COUNTIF('Sales Log'!$B$5:$B$111,G12)</f>
        <v>20</v>
      </c>
      <c r="K12" s="22" t="s">
        <v>24</v>
      </c>
      <c r="L12" s="22" t="n">
        <f aca="false">COUNTIF(Inventory!$H$5:$H$22,"OK")</f>
        <v>11</v>
      </c>
      <c r="P12" s="18" t="s">
        <v>25</v>
      </c>
      <c r="Q12" s="18" t="n">
        <f aca="false">SUMIF('Sales Log'!$C$5:$C$111,P12,'Sales Log'!$H$5:$H$111)</f>
        <v>4589.49</v>
      </c>
    </row>
    <row r="13" customFormat="false" ht="15" hidden="false" customHeight="false" outlineLevel="0" collapsed="false">
      <c r="B13" s="22" t="s">
        <v>26</v>
      </c>
      <c r="C13" s="23" t="n">
        <f aca="false">SUMIF('Sales Log'!$E$5:$E$111,B13,'Sales Log'!$H$5:$H$111)</f>
        <v>3793.39</v>
      </c>
      <c r="D13" s="24" t="n">
        <f aca="false">C13/$B$6</f>
        <v>0.0956093771738626</v>
      </c>
      <c r="G13" s="22" t="s">
        <v>27</v>
      </c>
      <c r="H13" s="23" t="n">
        <f aca="false">SUMIF('Sales Log'!$B$5:$B$111,G13,'Sales Log'!$H$5:$H$111)</f>
        <v>8842.07</v>
      </c>
      <c r="I13" s="22" t="n">
        <f aca="false">COUNTIF('Sales Log'!$B$5:$B$111,G13)</f>
        <v>18</v>
      </c>
      <c r="K13" s="22" t="s">
        <v>28</v>
      </c>
      <c r="L13" s="22" t="n">
        <f aca="false">COUNTIF(Inventory!$H$5:$H$22,"REORDER")</f>
        <v>7</v>
      </c>
      <c r="P13" s="18" t="s">
        <v>29</v>
      </c>
      <c r="Q13" s="18" t="n">
        <f aca="false">SUMIF('Sales Log'!$C$5:$C$111,P13,'Sales Log'!$H$5:$H$111)</f>
        <v>3725</v>
      </c>
    </row>
    <row r="14" customFormat="false" ht="15" hidden="false" customHeight="false" outlineLevel="0" collapsed="false">
      <c r="B14" s="19" t="s">
        <v>30</v>
      </c>
      <c r="C14" s="20" t="n">
        <f aca="false">SUMIF('Sales Log'!$E$5:$E$111,B14,'Sales Log'!$H$5:$H$111)</f>
        <v>3164.41</v>
      </c>
      <c r="D14" s="21" t="n">
        <f aca="false">C14/$B$6</f>
        <v>0.0797564366497362</v>
      </c>
      <c r="G14" s="19" t="s">
        <v>31</v>
      </c>
      <c r="H14" s="20" t="n">
        <f aca="false">SUMIF('Sales Log'!$B$5:$B$111,G14,'Sales Log'!$H$5:$H$111)</f>
        <v>5689.62</v>
      </c>
      <c r="I14" s="19" t="n">
        <f aca="false">COUNTIF('Sales Log'!$B$5:$B$111,G14)</f>
        <v>17</v>
      </c>
      <c r="P14" s="18" t="s">
        <v>32</v>
      </c>
      <c r="Q14" s="18" t="n">
        <f aca="false">SUMIF('Sales Log'!$C$5:$C$111,P14,'Sales Log'!$H$5:$H$111)</f>
        <v>9216</v>
      </c>
    </row>
    <row r="15" customFormat="false" ht="15" hidden="false" customHeight="false" outlineLevel="0" collapsed="false">
      <c r="B15" s="22" t="s">
        <v>33</v>
      </c>
      <c r="C15" s="23" t="n">
        <f aca="false">SUMIF('Sales Log'!$E$5:$E$111,B15,'Sales Log'!$H$5:$H$111)</f>
        <v>1077.34</v>
      </c>
      <c r="D15" s="24" t="n">
        <f aca="false">C15/$B$6</f>
        <v>0.027153497637862</v>
      </c>
      <c r="G15" s="22" t="s">
        <v>34</v>
      </c>
      <c r="H15" s="23" t="n">
        <f aca="false">SUMIF('Sales Log'!$B$5:$B$111,G15,'Sales Log'!$H$5:$H$111)</f>
        <v>7296.11</v>
      </c>
      <c r="I15" s="22" t="n">
        <f aca="false">COUNTIF('Sales Log'!$B$5:$B$111,G15)</f>
        <v>19</v>
      </c>
      <c r="P15" s="18" t="s">
        <v>35</v>
      </c>
      <c r="Q15" s="18" t="n">
        <f aca="false">SUMIF('Sales Log'!$C$5:$C$111,P15,'Sales Log'!$H$5:$H$111)</f>
        <v>1034.77</v>
      </c>
    </row>
    <row r="16" customFormat="false" ht="15" hidden="false" customHeight="false" outlineLevel="0" collapsed="false">
      <c r="B16" s="19" t="s">
        <v>36</v>
      </c>
      <c r="C16" s="20" t="n">
        <f aca="false">SUMIF('Sales Log'!$E$5:$E$111,B16,'Sales Log'!$H$5:$H$111)</f>
        <v>12697.2</v>
      </c>
      <c r="D16" s="21" t="n">
        <f aca="false">C16/$B$6</f>
        <v>0.320022824927563</v>
      </c>
      <c r="G16" s="19" t="s">
        <v>37</v>
      </c>
      <c r="H16" s="20" t="n">
        <f aca="false">SUMIF('Sales Log'!$B$5:$B$111,G16,'Sales Log'!$H$5:$H$111)</f>
        <v>7934.75</v>
      </c>
      <c r="I16" s="19" t="n">
        <f aca="false">COUNTIF('Sales Log'!$B$5:$B$111,G16)</f>
        <v>17</v>
      </c>
      <c r="P16" s="18" t="s">
        <v>38</v>
      </c>
      <c r="Q16" s="18" t="n">
        <f aca="false">SUMIF('Sales Log'!$C$5:$C$111,P16,'Sales Log'!$H$5:$H$111)</f>
        <v>2758.62</v>
      </c>
    </row>
    <row r="17" customFormat="false" ht="15" hidden="false" customHeight="false" outlineLevel="0" collapsed="false">
      <c r="B17" s="22" t="s">
        <v>39</v>
      </c>
      <c r="C17" s="23" t="n">
        <f aca="false">SUMIF('Sales Log'!$E$5:$E$111,B17,'Sales Log'!$H$5:$H$111)</f>
        <v>1413.09</v>
      </c>
      <c r="D17" s="24" t="n">
        <f aca="false">C17/$B$6</f>
        <v>0.035615809286842</v>
      </c>
      <c r="G17" s="22" t="s">
        <v>40</v>
      </c>
      <c r="H17" s="23" t="n">
        <f aca="false">SUMIF('Sales Log'!$B$5:$B$111,G17,'Sales Log'!$H$5:$H$111)</f>
        <v>2188.27</v>
      </c>
      <c r="I17" s="22" t="n">
        <f aca="false">COUNTIF('Sales Log'!$B$5:$B$111,G17)</f>
        <v>16</v>
      </c>
      <c r="P17" s="18" t="s">
        <v>41</v>
      </c>
      <c r="Q17" s="18" t="n">
        <f aca="false">SUMIF('Sales Log'!$C$5:$C$111,P17,'Sales Log'!$H$5:$H$111)</f>
        <v>0</v>
      </c>
    </row>
    <row r="18" customFormat="false" ht="15" hidden="false" customHeight="false" outlineLevel="0" collapsed="false">
      <c r="P18" s="0" t="s">
        <v>42</v>
      </c>
      <c r="Q18" s="0" t="n">
        <f aca="false">SUMIF('Sales Log'!$C$5:$C$111,P18,'Sales Log'!$H$5:$H$111)</f>
        <v>1374.45</v>
      </c>
    </row>
    <row r="19" customFormat="false" ht="15" hidden="false" customHeight="false" outlineLevel="0" collapsed="false">
      <c r="P19" s="0" t="s">
        <v>43</v>
      </c>
      <c r="Q19" s="0" t="n">
        <f aca="false">SUMIF('Sales Log'!$C$5:$C$111,P19,'Sales Log'!$H$5:$H$111)</f>
        <v>569.62</v>
      </c>
    </row>
    <row r="20" customFormat="false" ht="16.15" hidden="false" customHeight="false" outlineLevel="0" collapsed="false">
      <c r="B20" s="16" t="s">
        <v>44</v>
      </c>
      <c r="P20" s="18" t="s">
        <v>45</v>
      </c>
      <c r="Q20" s="18" t="n">
        <f aca="false">SUMIF('Sales Log'!$C$5:$C$111,P20,'Sales Log'!$H$5:$H$111)</f>
        <v>1220.34</v>
      </c>
    </row>
    <row r="21" customFormat="false" ht="15" hidden="false" customHeight="false" outlineLevel="0" collapsed="false">
      <c r="B21" s="17" t="s">
        <v>46</v>
      </c>
      <c r="C21" s="17" t="s">
        <v>47</v>
      </c>
      <c r="D21" s="17" t="s">
        <v>13</v>
      </c>
      <c r="E21" s="17" t="s">
        <v>48</v>
      </c>
      <c r="F21" s="17" t="s">
        <v>14</v>
      </c>
      <c r="P21" s="18" t="s">
        <v>49</v>
      </c>
      <c r="Q21" s="18" t="n">
        <f aca="false">SUMIF('Sales Log'!$C$5:$C$111,P21,'Sales Log'!$H$5:$H$111)</f>
        <v>751.06</v>
      </c>
    </row>
    <row r="22" customFormat="false" ht="15" hidden="false" customHeight="false" outlineLevel="0" collapsed="false">
      <c r="B22" s="25" t="n">
        <v>1</v>
      </c>
      <c r="C22" s="26" t="str">
        <f aca="false">VLOOKUP(INDEX($P$12:$P$29,MATCH(F22,$Q$12:$Q$29,0)),Inventory!$A$5:$D$22,2,FALSE())</f>
        <v>Mini Fridge</v>
      </c>
      <c r="D22" s="25" t="str">
        <f aca="false">VLOOKUP(INDEX($P$12:$P$29,MATCH(F22,$Q$12:$Q$29,0)),Inventory!$A$5:$D$22,3,FALSE())</f>
        <v>Dorm Essentials</v>
      </c>
      <c r="E22" s="25" t="n">
        <f aca="false">SUMIF('Sales Log'!$C$5:$C$111,INDEX($P$12:$P$29,MATCH(F22,$Q$12:$Q$29,0)),'Sales Log'!$F$5:$F$111)</f>
        <v>87</v>
      </c>
      <c r="F22" s="27" t="n">
        <f aca="false">LARGE($Q$12:$Q$29,1)</f>
        <v>10353</v>
      </c>
      <c r="P22" s="18" t="s">
        <v>50</v>
      </c>
      <c r="Q22" s="18" t="n">
        <f aca="false">SUMIF('Sales Log'!$C$5:$C$111,P22,'Sales Log'!$H$5:$H$111)</f>
        <v>314.3</v>
      </c>
    </row>
    <row r="23" customFormat="false" ht="15" hidden="false" customHeight="false" outlineLevel="0" collapsed="false">
      <c r="B23" s="28" t="n">
        <v>2</v>
      </c>
      <c r="C23" s="29" t="str">
        <f aca="false">VLOOKUP(INDEX($P$12:$P$29,MATCH(F23,$Q$12:$Q$29,0)),Inventory!$A$5:$D$22,2,FALSE())</f>
        <v>Organic Chemistry Manual</v>
      </c>
      <c r="D23" s="28" t="str">
        <f aca="false">VLOOKUP(INDEX($P$12:$P$29,MATCH(F23,$Q$12:$Q$29,0)),Inventory!$A$5:$D$22,3,FALSE())</f>
        <v>Textbooks</v>
      </c>
      <c r="E23" s="28" t="n">
        <f aca="false">SUMIF('Sales Log'!$C$5:$C$111,INDEX($P$12:$P$29,MATCH(F23,$Q$12:$Q$29,0)),'Sales Log'!$F$5:$F$111)</f>
        <v>96</v>
      </c>
      <c r="F23" s="30" t="n">
        <f aca="false">LARGE($Q$12:$Q$29,2)</f>
        <v>9216</v>
      </c>
      <c r="P23" s="18" t="s">
        <v>51</v>
      </c>
      <c r="Q23" s="18" t="n">
        <f aca="false">SUMIF('Sales Log'!$C$5:$C$111,P23,'Sales Log'!$H$5:$H$111)</f>
        <v>11.98</v>
      </c>
    </row>
    <row r="24" customFormat="false" ht="15" hidden="false" customHeight="false" outlineLevel="0" collapsed="false">
      <c r="B24" s="25" t="n">
        <v>3</v>
      </c>
      <c r="C24" s="26" t="str">
        <f aca="false">VLOOKUP(INDEX($P$12:$P$29,MATCH(F24,$Q$12:$Q$29,0)),Inventory!$A$5:$D$22,2,FALSE())</f>
        <v>Intro to Psychology (Textbook)</v>
      </c>
      <c r="D24" s="25" t="str">
        <f aca="false">VLOOKUP(INDEX($P$12:$P$29,MATCH(F24,$Q$12:$Q$29,0)),Inventory!$A$5:$D$22,3,FALSE())</f>
        <v>Textbooks</v>
      </c>
      <c r="E24" s="25" t="n">
        <f aca="false">SUMIF('Sales Log'!$C$5:$C$111,INDEX($P$12:$P$29,MATCH(F24,$Q$12:$Q$29,0)),'Sales Log'!$F$5:$F$111)</f>
        <v>51</v>
      </c>
      <c r="F24" s="27" t="n">
        <f aca="false">LARGE($Q$12:$Q$29,3)</f>
        <v>4589.49</v>
      </c>
      <c r="P24" s="18" t="s">
        <v>52</v>
      </c>
      <c r="Q24" s="18" t="n">
        <f aca="false">SUMIF('Sales Log'!$C$5:$C$111,P24,'Sales Log'!$H$5:$H$111)</f>
        <v>1574.55</v>
      </c>
    </row>
    <row r="25" customFormat="false" ht="15" hidden="false" customHeight="false" outlineLevel="0" collapsed="false">
      <c r="B25" s="28" t="n">
        <v>4</v>
      </c>
      <c r="C25" s="29" t="str">
        <f aca="false">VLOOKUP(INDEX($P$12:$P$29,MATCH(F25,$Q$12:$Q$29,0)),Inventory!$A$5:$D$22,2,FALSE())</f>
        <v>Calculus II Course Pack</v>
      </c>
      <c r="D25" s="28" t="str">
        <f aca="false">VLOOKUP(INDEX($P$12:$P$29,MATCH(F25,$Q$12:$Q$29,0)),Inventory!$A$5:$D$22,3,FALSE())</f>
        <v>Textbooks</v>
      </c>
      <c r="E25" s="28" t="n">
        <f aca="false">SUMIF('Sales Log'!$C$5:$C$111,INDEX($P$12:$P$29,MATCH(F25,$Q$12:$Q$29,0)),'Sales Log'!$F$5:$F$111)</f>
        <v>50</v>
      </c>
      <c r="F25" s="30" t="n">
        <f aca="false">LARGE($Q$12:$Q$29,4)</f>
        <v>3725</v>
      </c>
      <c r="P25" s="18" t="s">
        <v>53</v>
      </c>
      <c r="Q25" s="18" t="n">
        <f aca="false">SUMIF('Sales Log'!$C$5:$C$111,P25,'Sales Log'!$H$5:$H$111)</f>
        <v>769.65</v>
      </c>
    </row>
    <row r="26" customFormat="false" ht="15" hidden="false" customHeight="false" outlineLevel="0" collapsed="false">
      <c r="B26" s="25" t="n">
        <v>5</v>
      </c>
      <c r="C26" s="26" t="str">
        <f aca="false">VLOOKUP(INDEX($P$12:$P$29,MATCH(F26,$Q$12:$Q$29,0)),Inventory!$A$5:$D$22,2,FALSE())</f>
        <v>Campus Store T-Shirt</v>
      </c>
      <c r="D26" s="25" t="str">
        <f aca="false">VLOOKUP(INDEX($P$12:$P$29,MATCH(F26,$Q$12:$Q$29,0)),Inventory!$A$5:$D$22,3,FALSE())</f>
        <v>Apparel &amp; Spirit Wear</v>
      </c>
      <c r="E26" s="25" t="n">
        <f aca="false">SUMIF('Sales Log'!$C$5:$C$111,INDEX($P$12:$P$29,MATCH(F26,$Q$12:$Q$29,0)),'Sales Log'!$F$5:$F$111)</f>
        <v>138</v>
      </c>
      <c r="F26" s="27" t="n">
        <f aca="false">LARGE($Q$12:$Q$29,5)</f>
        <v>2758.62</v>
      </c>
      <c r="P26" s="18" t="s">
        <v>54</v>
      </c>
      <c r="Q26" s="18" t="n">
        <f aca="false">SUMIF('Sales Log'!$C$5:$C$111,P26,'Sales Log'!$H$5:$H$111)</f>
        <v>10353</v>
      </c>
    </row>
    <row r="27" customFormat="false" ht="15" hidden="false" customHeight="false" outlineLevel="0" collapsed="false">
      <c r="P27" s="0" t="s">
        <v>55</v>
      </c>
      <c r="Q27" s="0" t="n">
        <f aca="false">SUMIF('Sales Log'!$C$5:$C$111,P27,'Sales Log'!$H$5:$H$111)</f>
        <v>669.33</v>
      </c>
    </row>
    <row r="28" customFormat="false" ht="15" hidden="false" customHeight="false" outlineLevel="0" collapsed="false">
      <c r="B28" s="31" t="s">
        <v>56</v>
      </c>
      <c r="P28" s="18" t="s">
        <v>57</v>
      </c>
      <c r="Q28" s="18" t="n">
        <f aca="false">SUMIF('Sales Log'!$C$5:$C$111,P28,'Sales Log'!$H$5:$H$111)</f>
        <v>408.87</v>
      </c>
    </row>
    <row r="29" customFormat="false" ht="15" hidden="false" customHeight="false" outlineLevel="0" collapsed="false">
      <c r="P29" s="0" t="s">
        <v>58</v>
      </c>
      <c r="Q29" s="0" t="n">
        <f aca="false">SUMIF('Sales Log'!$C$5:$C$111,P29,'Sales Log'!$H$5:$H$111)</f>
        <v>334.89</v>
      </c>
    </row>
  </sheetData>
  <mergeCells count="14">
    <mergeCell ref="A1:N1"/>
    <mergeCell ref="A2:N2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8" hidden="false" customHeight="true" outlineLevel="0" collapsed="false">
      <c r="A2" s="3" t="s">
        <v>59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customFormat="false" ht="19.5" hidden="false" customHeight="true" outlineLevel="0" collapsed="false">
      <c r="A4" s="17" t="s">
        <v>60</v>
      </c>
      <c r="B4" s="17" t="s">
        <v>47</v>
      </c>
      <c r="C4" s="17" t="s">
        <v>13</v>
      </c>
      <c r="D4" s="17" t="s">
        <v>61</v>
      </c>
      <c r="E4" s="17" t="s">
        <v>62</v>
      </c>
      <c r="F4" s="17" t="s">
        <v>63</v>
      </c>
      <c r="G4" s="17" t="s">
        <v>64</v>
      </c>
      <c r="H4" s="17" t="s">
        <v>18</v>
      </c>
      <c r="I4" s="17" t="s">
        <v>65</v>
      </c>
    </row>
    <row r="5" customFormat="false" ht="15" hidden="false" customHeight="false" outlineLevel="0" collapsed="false">
      <c r="A5" s="22" t="s">
        <v>25</v>
      </c>
      <c r="B5" s="22" t="s">
        <v>66</v>
      </c>
      <c r="C5" s="22" t="s">
        <v>22</v>
      </c>
      <c r="D5" s="23" t="n">
        <v>89.99</v>
      </c>
      <c r="E5" s="28" t="n">
        <v>115</v>
      </c>
      <c r="F5" s="28" t="n">
        <v>40</v>
      </c>
      <c r="G5" s="23" t="n">
        <f aca="false">D5*E5</f>
        <v>10348.85</v>
      </c>
      <c r="H5" s="28" t="str">
        <f aca="false">IF(E5&lt;=F5,"REORDER","OK")</f>
        <v>OK</v>
      </c>
      <c r="I5" s="32" t="n">
        <v>46187</v>
      </c>
    </row>
    <row r="6" customFormat="false" ht="15" hidden="false" customHeight="false" outlineLevel="0" collapsed="false">
      <c r="A6" s="19" t="s">
        <v>29</v>
      </c>
      <c r="B6" s="19" t="s">
        <v>67</v>
      </c>
      <c r="C6" s="19" t="s">
        <v>22</v>
      </c>
      <c r="D6" s="20" t="n">
        <v>74.5</v>
      </c>
      <c r="E6" s="25" t="n">
        <v>115</v>
      </c>
      <c r="F6" s="25" t="n">
        <v>40</v>
      </c>
      <c r="G6" s="20" t="n">
        <f aca="false">D6*E6</f>
        <v>8567.5</v>
      </c>
      <c r="H6" s="25" t="str">
        <f aca="false">IF(E6&lt;=F6,"REORDER","OK")</f>
        <v>OK</v>
      </c>
      <c r="I6" s="33" t="n">
        <v>46183</v>
      </c>
    </row>
    <row r="7" customFormat="false" ht="15" hidden="false" customHeight="false" outlineLevel="0" collapsed="false">
      <c r="A7" s="22" t="s">
        <v>32</v>
      </c>
      <c r="B7" s="22" t="s">
        <v>68</v>
      </c>
      <c r="C7" s="22" t="s">
        <v>22</v>
      </c>
      <c r="D7" s="23" t="n">
        <v>96</v>
      </c>
      <c r="E7" s="28" t="n">
        <v>48</v>
      </c>
      <c r="F7" s="28" t="n">
        <v>20</v>
      </c>
      <c r="G7" s="23" t="n">
        <f aca="false">D7*E7</f>
        <v>4608</v>
      </c>
      <c r="H7" s="28" t="str">
        <f aca="false">IF(E7&lt;=F7,"REORDER","OK")</f>
        <v>OK</v>
      </c>
      <c r="I7" s="32" t="n">
        <v>46185</v>
      </c>
    </row>
    <row r="8" customFormat="false" ht="15" hidden="false" customHeight="false" outlineLevel="0" collapsed="false">
      <c r="A8" s="19" t="s">
        <v>35</v>
      </c>
      <c r="B8" s="19" t="s">
        <v>69</v>
      </c>
      <c r="C8" s="19" t="s">
        <v>26</v>
      </c>
      <c r="D8" s="20" t="n">
        <v>44.99</v>
      </c>
      <c r="E8" s="25" t="n">
        <v>121</v>
      </c>
      <c r="F8" s="25" t="n">
        <v>40</v>
      </c>
      <c r="G8" s="20" t="n">
        <f aca="false">D8*E8</f>
        <v>5443.79</v>
      </c>
      <c r="H8" s="25" t="str">
        <f aca="false">IF(E8&lt;=F8,"REORDER","OK")</f>
        <v>OK</v>
      </c>
      <c r="I8" s="33" t="n">
        <v>46196</v>
      </c>
    </row>
    <row r="9" customFormat="false" ht="15" hidden="false" customHeight="false" outlineLevel="0" collapsed="false">
      <c r="A9" s="22" t="s">
        <v>38</v>
      </c>
      <c r="B9" s="22" t="s">
        <v>70</v>
      </c>
      <c r="C9" s="22" t="s">
        <v>26</v>
      </c>
      <c r="D9" s="23" t="n">
        <v>19.99</v>
      </c>
      <c r="E9" s="28" t="n">
        <v>24</v>
      </c>
      <c r="F9" s="28" t="n">
        <v>30</v>
      </c>
      <c r="G9" s="23" t="n">
        <f aca="false">D9*E9</f>
        <v>479.76</v>
      </c>
      <c r="H9" s="28" t="str">
        <f aca="false">IF(E9&lt;=F9,"REORDER","OK")</f>
        <v>REORDER</v>
      </c>
      <c r="I9" s="32" t="n">
        <v>46192</v>
      </c>
    </row>
    <row r="10" customFormat="false" ht="15" hidden="false" customHeight="false" outlineLevel="0" collapsed="false">
      <c r="A10" s="19" t="s">
        <v>41</v>
      </c>
      <c r="B10" s="19" t="s">
        <v>71</v>
      </c>
      <c r="C10" s="19" t="s">
        <v>26</v>
      </c>
      <c r="D10" s="20" t="n">
        <v>22.5</v>
      </c>
      <c r="E10" s="25" t="n">
        <v>36</v>
      </c>
      <c r="F10" s="25" t="n">
        <v>15</v>
      </c>
      <c r="G10" s="20" t="n">
        <f aca="false">D10*E10</f>
        <v>810</v>
      </c>
      <c r="H10" s="25" t="str">
        <f aca="false">IF(E10&lt;=F10,"REORDER","OK")</f>
        <v>OK</v>
      </c>
      <c r="I10" s="33" t="n">
        <v>46184</v>
      </c>
    </row>
    <row r="11" customFormat="false" ht="15" hidden="false" customHeight="false" outlineLevel="0" collapsed="false">
      <c r="A11" s="22" t="s">
        <v>42</v>
      </c>
      <c r="B11" s="22" t="s">
        <v>72</v>
      </c>
      <c r="C11" s="22" t="s">
        <v>30</v>
      </c>
      <c r="D11" s="23" t="n">
        <v>24.99</v>
      </c>
      <c r="E11" s="28" t="n">
        <v>10</v>
      </c>
      <c r="F11" s="28" t="n">
        <v>40</v>
      </c>
      <c r="G11" s="23" t="n">
        <f aca="false">D11*E11</f>
        <v>249.9</v>
      </c>
      <c r="H11" s="28" t="str">
        <f aca="false">IF(E11&lt;=F11,"REORDER","OK")</f>
        <v>REORDER</v>
      </c>
      <c r="I11" s="32" t="n">
        <v>46189</v>
      </c>
    </row>
    <row r="12" customFormat="false" ht="15" hidden="false" customHeight="false" outlineLevel="0" collapsed="false">
      <c r="A12" s="19" t="s">
        <v>43</v>
      </c>
      <c r="B12" s="19" t="s">
        <v>73</v>
      </c>
      <c r="C12" s="19" t="s">
        <v>30</v>
      </c>
      <c r="D12" s="20" t="n">
        <v>14.99</v>
      </c>
      <c r="E12" s="25" t="n">
        <v>115</v>
      </c>
      <c r="F12" s="25" t="n">
        <v>40</v>
      </c>
      <c r="G12" s="20" t="n">
        <f aca="false">D12*E12</f>
        <v>1723.85</v>
      </c>
      <c r="H12" s="25" t="str">
        <f aca="false">IF(E12&lt;=F12,"REORDER","OK")</f>
        <v>OK</v>
      </c>
      <c r="I12" s="33" t="n">
        <v>46181</v>
      </c>
    </row>
    <row r="13" customFormat="false" ht="15" hidden="false" customHeight="false" outlineLevel="0" collapsed="false">
      <c r="A13" s="22" t="s">
        <v>45</v>
      </c>
      <c r="B13" s="22" t="s">
        <v>74</v>
      </c>
      <c r="C13" s="22" t="s">
        <v>30</v>
      </c>
      <c r="D13" s="23" t="n">
        <v>18.49</v>
      </c>
      <c r="E13" s="28" t="n">
        <v>40</v>
      </c>
      <c r="F13" s="28" t="n">
        <v>40</v>
      </c>
      <c r="G13" s="23" t="n">
        <f aca="false">D13*E13</f>
        <v>739.6</v>
      </c>
      <c r="H13" s="28" t="str">
        <f aca="false">IF(E13&lt;=F13,"REORDER","OK")</f>
        <v>REORDER</v>
      </c>
      <c r="I13" s="32" t="n">
        <v>46201</v>
      </c>
    </row>
    <row r="14" customFormat="false" ht="15" hidden="false" customHeight="false" outlineLevel="0" collapsed="false">
      <c r="A14" s="19" t="s">
        <v>49</v>
      </c>
      <c r="B14" s="19" t="s">
        <v>75</v>
      </c>
      <c r="C14" s="19" t="s">
        <v>33</v>
      </c>
      <c r="D14" s="20" t="n">
        <v>7.99</v>
      </c>
      <c r="E14" s="25" t="n">
        <v>135</v>
      </c>
      <c r="F14" s="25" t="n">
        <v>15</v>
      </c>
      <c r="G14" s="20" t="n">
        <f aca="false">D14*E14</f>
        <v>1078.65</v>
      </c>
      <c r="H14" s="25" t="str">
        <f aca="false">IF(E14&lt;=F14,"REORDER","OK")</f>
        <v>OK</v>
      </c>
      <c r="I14" s="33" t="n">
        <v>46200</v>
      </c>
    </row>
    <row r="15" customFormat="false" ht="15" hidden="false" customHeight="false" outlineLevel="0" collapsed="false">
      <c r="A15" s="22" t="s">
        <v>50</v>
      </c>
      <c r="B15" s="22" t="s">
        <v>76</v>
      </c>
      <c r="C15" s="22" t="s">
        <v>33</v>
      </c>
      <c r="D15" s="23" t="n">
        <v>4.49</v>
      </c>
      <c r="E15" s="28" t="n">
        <v>9</v>
      </c>
      <c r="F15" s="28" t="n">
        <v>20</v>
      </c>
      <c r="G15" s="23" t="n">
        <f aca="false">D15*E15</f>
        <v>40.41</v>
      </c>
      <c r="H15" s="28" t="str">
        <f aca="false">IF(E15&lt;=F15,"REORDER","OK")</f>
        <v>REORDER</v>
      </c>
      <c r="I15" s="32" t="n">
        <v>46194</v>
      </c>
    </row>
    <row r="16" customFormat="false" ht="15" hidden="false" customHeight="false" outlineLevel="0" collapsed="false">
      <c r="A16" s="19" t="s">
        <v>51</v>
      </c>
      <c r="B16" s="19" t="s">
        <v>77</v>
      </c>
      <c r="C16" s="19" t="s">
        <v>33</v>
      </c>
      <c r="D16" s="20" t="n">
        <v>5.99</v>
      </c>
      <c r="E16" s="25" t="n">
        <v>7</v>
      </c>
      <c r="F16" s="25" t="n">
        <v>30</v>
      </c>
      <c r="G16" s="20" t="n">
        <f aca="false">D16*E16</f>
        <v>41.93</v>
      </c>
      <c r="H16" s="25" t="str">
        <f aca="false">IF(E16&lt;=F16,"REORDER","OK")</f>
        <v>REORDER</v>
      </c>
      <c r="I16" s="33" t="n">
        <v>46191</v>
      </c>
    </row>
    <row r="17" customFormat="false" ht="15" hidden="false" customHeight="false" outlineLevel="0" collapsed="false">
      <c r="A17" s="22" t="s">
        <v>52</v>
      </c>
      <c r="B17" s="22" t="s">
        <v>78</v>
      </c>
      <c r="C17" s="22" t="s">
        <v>36</v>
      </c>
      <c r="D17" s="23" t="n">
        <v>34.99</v>
      </c>
      <c r="E17" s="28" t="n">
        <v>112</v>
      </c>
      <c r="F17" s="28" t="n">
        <v>40</v>
      </c>
      <c r="G17" s="23" t="n">
        <f aca="false">D17*E17</f>
        <v>3918.88</v>
      </c>
      <c r="H17" s="28" t="str">
        <f aca="false">IF(E17&lt;=F17,"REORDER","OK")</f>
        <v>OK</v>
      </c>
      <c r="I17" s="32" t="n">
        <v>46195</v>
      </c>
    </row>
    <row r="18" customFormat="false" ht="15" hidden="false" customHeight="false" outlineLevel="0" collapsed="false">
      <c r="A18" s="19" t="s">
        <v>53</v>
      </c>
      <c r="B18" s="19" t="s">
        <v>79</v>
      </c>
      <c r="C18" s="19" t="s">
        <v>36</v>
      </c>
      <c r="D18" s="20" t="n">
        <v>21.99</v>
      </c>
      <c r="E18" s="25" t="n">
        <v>132</v>
      </c>
      <c r="F18" s="25" t="n">
        <v>20</v>
      </c>
      <c r="G18" s="20" t="n">
        <f aca="false">D18*E18</f>
        <v>2902.68</v>
      </c>
      <c r="H18" s="25" t="str">
        <f aca="false">IF(E18&lt;=F18,"REORDER","OK")</f>
        <v>OK</v>
      </c>
      <c r="I18" s="33" t="n">
        <v>46181</v>
      </c>
    </row>
    <row r="19" customFormat="false" ht="15" hidden="false" customHeight="false" outlineLevel="0" collapsed="false">
      <c r="A19" s="22" t="s">
        <v>54</v>
      </c>
      <c r="B19" s="22" t="s">
        <v>80</v>
      </c>
      <c r="C19" s="22" t="s">
        <v>36</v>
      </c>
      <c r="D19" s="23" t="n">
        <v>119</v>
      </c>
      <c r="E19" s="28" t="n">
        <v>75</v>
      </c>
      <c r="F19" s="28" t="n">
        <v>30</v>
      </c>
      <c r="G19" s="23" t="n">
        <f aca="false">D19*E19</f>
        <v>8925</v>
      </c>
      <c r="H19" s="28" t="str">
        <f aca="false">IF(E19&lt;=F19,"REORDER","OK")</f>
        <v>OK</v>
      </c>
      <c r="I19" s="32" t="n">
        <v>46201</v>
      </c>
    </row>
    <row r="20" customFormat="false" ht="15" hidden="false" customHeight="false" outlineLevel="0" collapsed="false">
      <c r="A20" s="19" t="s">
        <v>55</v>
      </c>
      <c r="B20" s="19" t="s">
        <v>81</v>
      </c>
      <c r="C20" s="19" t="s">
        <v>39</v>
      </c>
      <c r="D20" s="20" t="n">
        <v>9.99</v>
      </c>
      <c r="E20" s="25" t="n">
        <v>21</v>
      </c>
      <c r="F20" s="25" t="n">
        <v>30</v>
      </c>
      <c r="G20" s="20" t="n">
        <f aca="false">D20*E20</f>
        <v>209.79</v>
      </c>
      <c r="H20" s="25" t="str">
        <f aca="false">IF(E20&lt;=F20,"REORDER","OK")</f>
        <v>REORDER</v>
      </c>
      <c r="I20" s="33" t="n">
        <v>46181</v>
      </c>
    </row>
    <row r="21" customFormat="false" ht="15" hidden="false" customHeight="false" outlineLevel="0" collapsed="false">
      <c r="A21" s="22" t="s">
        <v>57</v>
      </c>
      <c r="B21" s="22" t="s">
        <v>82</v>
      </c>
      <c r="C21" s="22" t="s">
        <v>39</v>
      </c>
      <c r="D21" s="23" t="n">
        <v>6.49</v>
      </c>
      <c r="E21" s="28" t="n">
        <v>71</v>
      </c>
      <c r="F21" s="28" t="n">
        <v>30</v>
      </c>
      <c r="G21" s="23" t="n">
        <f aca="false">D21*E21</f>
        <v>460.79</v>
      </c>
      <c r="H21" s="28" t="str">
        <f aca="false">IF(E21&lt;=F21,"REORDER","OK")</f>
        <v>OK</v>
      </c>
      <c r="I21" s="32" t="n">
        <v>46184</v>
      </c>
    </row>
    <row r="22" customFormat="false" ht="15" hidden="false" customHeight="false" outlineLevel="0" collapsed="false">
      <c r="A22" s="19" t="s">
        <v>58</v>
      </c>
      <c r="B22" s="19" t="s">
        <v>83</v>
      </c>
      <c r="C22" s="19" t="s">
        <v>39</v>
      </c>
      <c r="D22" s="20" t="n">
        <v>5.49</v>
      </c>
      <c r="E22" s="25" t="n">
        <v>21</v>
      </c>
      <c r="F22" s="25" t="n">
        <v>25</v>
      </c>
      <c r="G22" s="20" t="n">
        <f aca="false">D22*E22</f>
        <v>115.29</v>
      </c>
      <c r="H22" s="25" t="str">
        <f aca="false">IF(E22&lt;=F22,"REORDER","OK")</f>
        <v>REORDER</v>
      </c>
      <c r="I22" s="33" t="n">
        <v>46191</v>
      </c>
    </row>
    <row r="24" customFormat="false" ht="16.15" hidden="false" customHeight="false" outlineLevel="0" collapsed="false">
      <c r="A24" s="16" t="s">
        <v>84</v>
      </c>
    </row>
    <row r="25" customFormat="false" ht="15" hidden="false" customHeight="false" outlineLevel="0" collapsed="false">
      <c r="A25" s="34" t="s">
        <v>85</v>
      </c>
      <c r="B25" s="35" t="n">
        <f aca="false">COUNTA(A5:A22)</f>
        <v>18</v>
      </c>
    </row>
    <row r="26" customFormat="false" ht="15" hidden="false" customHeight="false" outlineLevel="0" collapsed="false">
      <c r="A26" s="34" t="s">
        <v>86</v>
      </c>
      <c r="B26" s="36" t="n">
        <f aca="false">SUM(G5:G22)</f>
        <v>50664.67</v>
      </c>
    </row>
    <row r="27" customFormat="false" ht="15" hidden="false" customHeight="false" outlineLevel="0" collapsed="false">
      <c r="A27" s="34" t="s">
        <v>87</v>
      </c>
      <c r="B27" s="35" t="n">
        <f aca="false">COUNTIF(H5:H22,"REORDER")</f>
        <v>7</v>
      </c>
    </row>
  </sheetData>
  <mergeCells count="2">
    <mergeCell ref="A1:I1"/>
    <mergeCell ref="A2:I2"/>
  </mergeCells>
  <conditionalFormatting sqref="H5:H22">
    <cfRule type="cellIs" priority="2" operator="equal" aboveAverage="0" equalAverage="0" bottom="0" percent="0" rank="0" text="" dxfId="0">
      <formula>"REORDER"</formula>
    </cfRule>
    <cfRule type="cellIs" priority="3" operator="equal" aboveAverage="0" equalAverage="0" bottom="0" percent="0" rank="0" text="" dxfId="1">
      <formula>"OK"</formula>
    </cfRule>
  </conditionalFormatting>
  <conditionalFormatting sqref="E5:E22">
    <cfRule type="colorScale" priority="4">
      <colorScale>
        <cfvo type="min" val="0"/>
        <cfvo type="percentile" val="50"/>
        <cfvo type="max" val="0"/>
        <color rgb="FFFCA5A5"/>
        <color rgb="FFFEF08A"/>
        <color rgb="FF86EFA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8" hidden="false" customHeight="true" outlineLevel="0" collapsed="false">
      <c r="A2" s="3" t="s">
        <v>88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 customFormat="false" ht="19.5" hidden="false" customHeight="true" outlineLevel="0" collapsed="false">
      <c r="A4" s="17" t="s">
        <v>89</v>
      </c>
      <c r="B4" s="17" t="s">
        <v>16</v>
      </c>
      <c r="C4" s="17" t="s">
        <v>60</v>
      </c>
      <c r="D4" s="17" t="s">
        <v>47</v>
      </c>
      <c r="E4" s="17" t="s">
        <v>13</v>
      </c>
      <c r="F4" s="17" t="s">
        <v>90</v>
      </c>
      <c r="G4" s="17" t="s">
        <v>61</v>
      </c>
      <c r="H4" s="17" t="s">
        <v>14</v>
      </c>
      <c r="I4" s="17" t="s">
        <v>91</v>
      </c>
    </row>
    <row r="5" customFormat="false" ht="15" hidden="false" customHeight="false" outlineLevel="0" collapsed="false">
      <c r="A5" s="37" t="n">
        <v>46039</v>
      </c>
      <c r="B5" s="22" t="str">
        <f aca="false">TEXT(A5,"mmm")</f>
        <v>Jan</v>
      </c>
      <c r="C5" s="22" t="s">
        <v>43</v>
      </c>
      <c r="D5" s="22" t="str">
        <f aca="false">VLOOKUP(C5,Inventory!$A$5:$D$22,2,FALSE())</f>
        <v>USB-C Charging Cable</v>
      </c>
      <c r="E5" s="22" t="str">
        <f aca="false">VLOOKUP(C5,Inventory!$A$5:$D$22,3,FALSE())</f>
        <v>Electronics &amp; Supplies</v>
      </c>
      <c r="F5" s="22" t="n">
        <v>10</v>
      </c>
      <c r="G5" s="23" t="n">
        <f aca="false">VLOOKUP(C5,Inventory!$A$5:$D$22,4,FALSE())</f>
        <v>14.99</v>
      </c>
      <c r="H5" s="23" t="n">
        <f aca="false">F5*G5</f>
        <v>149.9</v>
      </c>
      <c r="I5" s="22" t="s">
        <v>92</v>
      </c>
    </row>
    <row r="6" customFormat="false" ht="15" hidden="false" customHeight="false" outlineLevel="0" collapsed="false">
      <c r="A6" s="38" t="n">
        <v>46041</v>
      </c>
      <c r="B6" s="19" t="str">
        <f aca="false">TEXT(A6,"mmm")</f>
        <v>Jan</v>
      </c>
      <c r="C6" s="19" t="s">
        <v>32</v>
      </c>
      <c r="D6" s="19" t="str">
        <f aca="false">VLOOKUP(C6,Inventory!$A$5:$D$22,2,FALSE())</f>
        <v>Organic Chemistry Manual</v>
      </c>
      <c r="E6" s="19" t="str">
        <f aca="false">VLOOKUP(C6,Inventory!$A$5:$D$22,3,FALSE())</f>
        <v>Textbooks</v>
      </c>
      <c r="F6" s="19" t="n">
        <v>4</v>
      </c>
      <c r="G6" s="20" t="n">
        <f aca="false">VLOOKUP(C6,Inventory!$A$5:$D$22,4,FALSE())</f>
        <v>96</v>
      </c>
      <c r="H6" s="20" t="n">
        <f aca="false">F6*G6</f>
        <v>384</v>
      </c>
      <c r="I6" s="19" t="s">
        <v>93</v>
      </c>
    </row>
    <row r="7" customFormat="false" ht="15" hidden="false" customHeight="false" outlineLevel="0" collapsed="false">
      <c r="A7" s="37" t="n">
        <v>46050</v>
      </c>
      <c r="B7" s="22" t="str">
        <f aca="false">TEXT(A7,"mmm")</f>
        <v>Jan</v>
      </c>
      <c r="C7" s="22" t="s">
        <v>35</v>
      </c>
      <c r="D7" s="22" t="str">
        <f aca="false">VLOOKUP(C7,Inventory!$A$5:$D$22,2,FALSE())</f>
        <v>Crestwood Hoodie</v>
      </c>
      <c r="E7" s="22" t="str">
        <f aca="false">VLOOKUP(C7,Inventory!$A$5:$D$22,3,FALSE())</f>
        <v>Apparel &amp; Spirit Wear</v>
      </c>
      <c r="F7" s="22" t="n">
        <v>10</v>
      </c>
      <c r="G7" s="23" t="n">
        <f aca="false">VLOOKUP(C7,Inventory!$A$5:$D$22,4,FALSE())</f>
        <v>44.99</v>
      </c>
      <c r="H7" s="23" t="n">
        <f aca="false">F7*G7</f>
        <v>449.9</v>
      </c>
      <c r="I7" s="22" t="s">
        <v>93</v>
      </c>
    </row>
    <row r="8" customFormat="false" ht="15" hidden="false" customHeight="false" outlineLevel="0" collapsed="false">
      <c r="A8" s="38" t="n">
        <v>46023</v>
      </c>
      <c r="B8" s="19" t="str">
        <f aca="false">TEXT(A8,"mmm")</f>
        <v>Jan</v>
      </c>
      <c r="C8" s="19" t="s">
        <v>32</v>
      </c>
      <c r="D8" s="19" t="str">
        <f aca="false">VLOOKUP(C8,Inventory!$A$5:$D$22,2,FALSE())</f>
        <v>Organic Chemistry Manual</v>
      </c>
      <c r="E8" s="19" t="str">
        <f aca="false">VLOOKUP(C8,Inventory!$A$5:$D$22,3,FALSE())</f>
        <v>Textbooks</v>
      </c>
      <c r="F8" s="19" t="n">
        <v>1</v>
      </c>
      <c r="G8" s="20" t="n">
        <f aca="false">VLOOKUP(C8,Inventory!$A$5:$D$22,4,FALSE())</f>
        <v>96</v>
      </c>
      <c r="H8" s="20" t="n">
        <f aca="false">F8*G8</f>
        <v>96</v>
      </c>
      <c r="I8" s="19" t="s">
        <v>94</v>
      </c>
    </row>
    <row r="9" customFormat="false" ht="15" hidden="false" customHeight="false" outlineLevel="0" collapsed="false">
      <c r="A9" s="37" t="n">
        <v>46024</v>
      </c>
      <c r="B9" s="22" t="str">
        <f aca="false">TEXT(A9,"mmm")</f>
        <v>Jan</v>
      </c>
      <c r="C9" s="22" t="s">
        <v>42</v>
      </c>
      <c r="D9" s="22" t="str">
        <f aca="false">VLOOKUP(C9,Inventory!$A$5:$D$22,2,FALSE())</f>
        <v>Scientific Calculator</v>
      </c>
      <c r="E9" s="22" t="str">
        <f aca="false">VLOOKUP(C9,Inventory!$A$5:$D$22,3,FALSE())</f>
        <v>Electronics &amp; Supplies</v>
      </c>
      <c r="F9" s="22" t="n">
        <v>16</v>
      </c>
      <c r="G9" s="23" t="n">
        <f aca="false">VLOOKUP(C9,Inventory!$A$5:$D$22,4,FALSE())</f>
        <v>24.99</v>
      </c>
      <c r="H9" s="23" t="n">
        <f aca="false">F9*G9</f>
        <v>399.84</v>
      </c>
      <c r="I9" s="22" t="s">
        <v>93</v>
      </c>
    </row>
    <row r="10" customFormat="false" ht="15" hidden="false" customHeight="false" outlineLevel="0" collapsed="false">
      <c r="A10" s="38" t="n">
        <v>46036</v>
      </c>
      <c r="B10" s="19" t="str">
        <f aca="false">TEXT(A10,"mmm")</f>
        <v>Jan</v>
      </c>
      <c r="C10" s="19" t="s">
        <v>52</v>
      </c>
      <c r="D10" s="19" t="str">
        <f aca="false">VLOOKUP(C10,Inventory!$A$5:$D$22,2,FALSE())</f>
        <v>Twin XL Bedsheet Set</v>
      </c>
      <c r="E10" s="19" t="str">
        <f aca="false">VLOOKUP(C10,Inventory!$A$5:$D$22,3,FALSE())</f>
        <v>Dorm Essentials</v>
      </c>
      <c r="F10" s="19" t="n">
        <v>3</v>
      </c>
      <c r="G10" s="20" t="n">
        <f aca="false">VLOOKUP(C10,Inventory!$A$5:$D$22,4,FALSE())</f>
        <v>34.99</v>
      </c>
      <c r="H10" s="20" t="n">
        <f aca="false">F10*G10</f>
        <v>104.97</v>
      </c>
      <c r="I10" s="19" t="s">
        <v>94</v>
      </c>
    </row>
    <row r="11" customFormat="false" ht="15" hidden="false" customHeight="false" outlineLevel="0" collapsed="false">
      <c r="A11" s="37" t="n">
        <v>46033</v>
      </c>
      <c r="B11" s="22" t="str">
        <f aca="false">TEXT(A11,"mmm")</f>
        <v>Jan</v>
      </c>
      <c r="C11" s="22" t="s">
        <v>45</v>
      </c>
      <c r="D11" s="22" t="str">
        <f aca="false">VLOOKUP(C11,Inventory!$A$5:$D$22,2,FALSE())</f>
        <v>Wireless Mouse</v>
      </c>
      <c r="E11" s="22" t="str">
        <f aca="false">VLOOKUP(C11,Inventory!$A$5:$D$22,3,FALSE())</f>
        <v>Electronics &amp; Supplies</v>
      </c>
      <c r="F11" s="22" t="n">
        <v>3</v>
      </c>
      <c r="G11" s="23" t="n">
        <f aca="false">VLOOKUP(C11,Inventory!$A$5:$D$22,4,FALSE())</f>
        <v>18.49</v>
      </c>
      <c r="H11" s="23" t="n">
        <f aca="false">F11*G11</f>
        <v>55.47</v>
      </c>
      <c r="I11" s="22" t="s">
        <v>95</v>
      </c>
    </row>
    <row r="12" customFormat="false" ht="15" hidden="false" customHeight="false" outlineLevel="0" collapsed="false">
      <c r="A12" s="38" t="n">
        <v>46023</v>
      </c>
      <c r="B12" s="19" t="str">
        <f aca="false">TEXT(A12,"mmm")</f>
        <v>Jan</v>
      </c>
      <c r="C12" s="19" t="s">
        <v>50</v>
      </c>
      <c r="D12" s="19" t="str">
        <f aca="false">VLOOKUP(C12,Inventory!$A$5:$D$22,2,FALSE())</f>
        <v>Trail Mix Bag</v>
      </c>
      <c r="E12" s="19" t="str">
        <f aca="false">VLOOKUP(C12,Inventory!$A$5:$D$22,3,FALSE())</f>
        <v>Dining &amp; Snacks</v>
      </c>
      <c r="F12" s="19" t="n">
        <v>14</v>
      </c>
      <c r="G12" s="20" t="n">
        <f aca="false">VLOOKUP(C12,Inventory!$A$5:$D$22,4,FALSE())</f>
        <v>4.49</v>
      </c>
      <c r="H12" s="20" t="n">
        <f aca="false">F12*G12</f>
        <v>62.86</v>
      </c>
      <c r="I12" s="19" t="s">
        <v>92</v>
      </c>
    </row>
    <row r="13" customFormat="false" ht="15" hidden="false" customHeight="false" outlineLevel="0" collapsed="false">
      <c r="A13" s="37" t="n">
        <v>46030</v>
      </c>
      <c r="B13" s="22" t="str">
        <f aca="false">TEXT(A13,"mmm")</f>
        <v>Jan</v>
      </c>
      <c r="C13" s="22" t="s">
        <v>38</v>
      </c>
      <c r="D13" s="22" t="str">
        <f aca="false">VLOOKUP(C13,Inventory!$A$5:$D$22,2,FALSE())</f>
        <v>Campus Store T-Shirt</v>
      </c>
      <c r="E13" s="22" t="str">
        <f aca="false">VLOOKUP(C13,Inventory!$A$5:$D$22,3,FALSE())</f>
        <v>Apparel &amp; Spirit Wear</v>
      </c>
      <c r="F13" s="22" t="n">
        <v>4</v>
      </c>
      <c r="G13" s="23" t="n">
        <f aca="false">VLOOKUP(C13,Inventory!$A$5:$D$22,4,FALSE())</f>
        <v>19.99</v>
      </c>
      <c r="H13" s="23" t="n">
        <f aca="false">F13*G13</f>
        <v>79.96</v>
      </c>
      <c r="I13" s="22" t="s">
        <v>92</v>
      </c>
    </row>
    <row r="14" customFormat="false" ht="15" hidden="false" customHeight="false" outlineLevel="0" collapsed="false">
      <c r="A14" s="38" t="n">
        <v>46037</v>
      </c>
      <c r="B14" s="19" t="str">
        <f aca="false">TEXT(A14,"mmm")</f>
        <v>Jan</v>
      </c>
      <c r="C14" s="19" t="s">
        <v>29</v>
      </c>
      <c r="D14" s="19" t="str">
        <f aca="false">VLOOKUP(C14,Inventory!$A$5:$D$22,2,FALSE())</f>
        <v>Calculus II Course Pack</v>
      </c>
      <c r="E14" s="19" t="str">
        <f aca="false">VLOOKUP(C14,Inventory!$A$5:$D$22,3,FALSE())</f>
        <v>Textbooks</v>
      </c>
      <c r="F14" s="19" t="n">
        <v>16</v>
      </c>
      <c r="G14" s="20" t="n">
        <f aca="false">VLOOKUP(C14,Inventory!$A$5:$D$22,4,FALSE())</f>
        <v>74.5</v>
      </c>
      <c r="H14" s="20" t="n">
        <f aca="false">F14*G14</f>
        <v>1192</v>
      </c>
      <c r="I14" s="19" t="s">
        <v>94</v>
      </c>
    </row>
    <row r="15" customFormat="false" ht="15" hidden="false" customHeight="false" outlineLevel="0" collapsed="false">
      <c r="A15" s="37" t="n">
        <v>46029</v>
      </c>
      <c r="B15" s="22" t="str">
        <f aca="false">TEXT(A15,"mmm")</f>
        <v>Jan</v>
      </c>
      <c r="C15" s="22" t="s">
        <v>58</v>
      </c>
      <c r="D15" s="22" t="str">
        <f aca="false">VLOOKUP(C15,Inventory!$A$5:$D$22,2,FALSE())</f>
        <v>Highlighter Pack</v>
      </c>
      <c r="E15" s="22" t="str">
        <f aca="false">VLOOKUP(C15,Inventory!$A$5:$D$22,3,FALSE())</f>
        <v>School Supplies</v>
      </c>
      <c r="F15" s="22" t="n">
        <v>15</v>
      </c>
      <c r="G15" s="23" t="n">
        <f aca="false">VLOOKUP(C15,Inventory!$A$5:$D$22,4,FALSE())</f>
        <v>5.49</v>
      </c>
      <c r="H15" s="23" t="n">
        <f aca="false">F15*G15</f>
        <v>82.35</v>
      </c>
      <c r="I15" s="22" t="s">
        <v>94</v>
      </c>
    </row>
    <row r="16" customFormat="false" ht="15" hidden="false" customHeight="false" outlineLevel="0" collapsed="false">
      <c r="A16" s="38" t="n">
        <v>46036</v>
      </c>
      <c r="B16" s="19" t="str">
        <f aca="false">TEXT(A16,"mmm")</f>
        <v>Jan</v>
      </c>
      <c r="C16" s="19" t="s">
        <v>38</v>
      </c>
      <c r="D16" s="19" t="str">
        <f aca="false">VLOOKUP(C16,Inventory!$A$5:$D$22,2,FALSE())</f>
        <v>Campus Store T-Shirt</v>
      </c>
      <c r="E16" s="19" t="str">
        <f aca="false">VLOOKUP(C16,Inventory!$A$5:$D$22,3,FALSE())</f>
        <v>Apparel &amp; Spirit Wear</v>
      </c>
      <c r="F16" s="19" t="n">
        <v>13</v>
      </c>
      <c r="G16" s="20" t="n">
        <f aca="false">VLOOKUP(C16,Inventory!$A$5:$D$22,4,FALSE())</f>
        <v>19.99</v>
      </c>
      <c r="H16" s="20" t="n">
        <f aca="false">F16*G16</f>
        <v>259.87</v>
      </c>
      <c r="I16" s="19" t="s">
        <v>92</v>
      </c>
    </row>
    <row r="17" customFormat="false" ht="15" hidden="false" customHeight="false" outlineLevel="0" collapsed="false">
      <c r="A17" s="37" t="n">
        <v>46036</v>
      </c>
      <c r="B17" s="22" t="str">
        <f aca="false">TEXT(A17,"mmm")</f>
        <v>Jan</v>
      </c>
      <c r="C17" s="22" t="s">
        <v>52</v>
      </c>
      <c r="D17" s="22" t="str">
        <f aca="false">VLOOKUP(C17,Inventory!$A$5:$D$22,2,FALSE())</f>
        <v>Twin XL Bedsheet Set</v>
      </c>
      <c r="E17" s="22" t="str">
        <f aca="false">VLOOKUP(C17,Inventory!$A$5:$D$22,3,FALSE())</f>
        <v>Dorm Essentials</v>
      </c>
      <c r="F17" s="22" t="n">
        <v>7</v>
      </c>
      <c r="G17" s="23" t="n">
        <f aca="false">VLOOKUP(C17,Inventory!$A$5:$D$22,4,FALSE())</f>
        <v>34.99</v>
      </c>
      <c r="H17" s="23" t="n">
        <f aca="false">F17*G17</f>
        <v>244.93</v>
      </c>
      <c r="I17" s="22" t="s">
        <v>92</v>
      </c>
    </row>
    <row r="18" customFormat="false" ht="15" hidden="false" customHeight="false" outlineLevel="0" collapsed="false">
      <c r="A18" s="38" t="n">
        <v>46050</v>
      </c>
      <c r="B18" s="19" t="str">
        <f aca="false">TEXT(A18,"mmm")</f>
        <v>Jan</v>
      </c>
      <c r="C18" s="19" t="s">
        <v>45</v>
      </c>
      <c r="D18" s="19" t="str">
        <f aca="false">VLOOKUP(C18,Inventory!$A$5:$D$22,2,FALSE())</f>
        <v>Wireless Mouse</v>
      </c>
      <c r="E18" s="19" t="str">
        <f aca="false">VLOOKUP(C18,Inventory!$A$5:$D$22,3,FALSE())</f>
        <v>Electronics &amp; Supplies</v>
      </c>
      <c r="F18" s="19" t="n">
        <v>19</v>
      </c>
      <c r="G18" s="20" t="n">
        <f aca="false">VLOOKUP(C18,Inventory!$A$5:$D$22,4,FALSE())</f>
        <v>18.49</v>
      </c>
      <c r="H18" s="20" t="n">
        <f aca="false">F18*G18</f>
        <v>351.31</v>
      </c>
      <c r="I18" s="19" t="s">
        <v>95</v>
      </c>
    </row>
    <row r="19" customFormat="false" ht="15" hidden="false" customHeight="false" outlineLevel="0" collapsed="false">
      <c r="A19" s="37" t="n">
        <v>46029</v>
      </c>
      <c r="B19" s="22" t="str">
        <f aca="false">TEXT(A19,"mmm")</f>
        <v>Jan</v>
      </c>
      <c r="C19" s="22" t="s">
        <v>25</v>
      </c>
      <c r="D19" s="22" t="str">
        <f aca="false">VLOOKUP(C19,Inventory!$A$5:$D$22,2,FALSE())</f>
        <v>Intro to Psychology (Textbook)</v>
      </c>
      <c r="E19" s="22" t="str">
        <f aca="false">VLOOKUP(C19,Inventory!$A$5:$D$22,3,FALSE())</f>
        <v>Textbooks</v>
      </c>
      <c r="F19" s="22" t="n">
        <v>6</v>
      </c>
      <c r="G19" s="23" t="n">
        <f aca="false">VLOOKUP(C19,Inventory!$A$5:$D$22,4,FALSE())</f>
        <v>89.99</v>
      </c>
      <c r="H19" s="23" t="n">
        <f aca="false">F19*G19</f>
        <v>539.94</v>
      </c>
      <c r="I19" s="22" t="s">
        <v>93</v>
      </c>
    </row>
    <row r="20" customFormat="false" ht="15" hidden="false" customHeight="false" outlineLevel="0" collapsed="false">
      <c r="A20" s="38" t="n">
        <v>46024</v>
      </c>
      <c r="B20" s="19" t="str">
        <f aca="false">TEXT(A20,"mmm")</f>
        <v>Jan</v>
      </c>
      <c r="C20" s="19" t="s">
        <v>35</v>
      </c>
      <c r="D20" s="19" t="str">
        <f aca="false">VLOOKUP(C20,Inventory!$A$5:$D$22,2,FALSE())</f>
        <v>Crestwood Hoodie</v>
      </c>
      <c r="E20" s="19" t="str">
        <f aca="false">VLOOKUP(C20,Inventory!$A$5:$D$22,3,FALSE())</f>
        <v>Apparel &amp; Spirit Wear</v>
      </c>
      <c r="F20" s="19" t="n">
        <v>5</v>
      </c>
      <c r="G20" s="20" t="n">
        <f aca="false">VLOOKUP(C20,Inventory!$A$5:$D$22,4,FALSE())</f>
        <v>44.99</v>
      </c>
      <c r="H20" s="20" t="n">
        <f aca="false">F20*G20</f>
        <v>224.95</v>
      </c>
      <c r="I20" s="19" t="s">
        <v>94</v>
      </c>
    </row>
    <row r="21" customFormat="false" ht="15" hidden="false" customHeight="false" outlineLevel="0" collapsed="false">
      <c r="A21" s="37" t="n">
        <v>46031</v>
      </c>
      <c r="B21" s="22" t="str">
        <f aca="false">TEXT(A21,"mmm")</f>
        <v>Jan</v>
      </c>
      <c r="C21" s="22" t="s">
        <v>54</v>
      </c>
      <c r="D21" s="22" t="str">
        <f aca="false">VLOOKUP(C21,Inventory!$A$5:$D$22,2,FALSE())</f>
        <v>Mini Fridge</v>
      </c>
      <c r="E21" s="22" t="str">
        <f aca="false">VLOOKUP(C21,Inventory!$A$5:$D$22,3,FALSE())</f>
        <v>Dorm Essentials</v>
      </c>
      <c r="F21" s="22" t="n">
        <v>1</v>
      </c>
      <c r="G21" s="23" t="n">
        <f aca="false">VLOOKUP(C21,Inventory!$A$5:$D$22,4,FALSE())</f>
        <v>119</v>
      </c>
      <c r="H21" s="23" t="n">
        <f aca="false">F21*G21</f>
        <v>119</v>
      </c>
      <c r="I21" s="22" t="s">
        <v>95</v>
      </c>
    </row>
    <row r="22" customFormat="false" ht="15" hidden="false" customHeight="false" outlineLevel="0" collapsed="false">
      <c r="A22" s="38" t="n">
        <v>46035</v>
      </c>
      <c r="B22" s="19" t="str">
        <f aca="false">TEXT(A22,"mmm")</f>
        <v>Jan</v>
      </c>
      <c r="C22" s="19" t="s">
        <v>49</v>
      </c>
      <c r="D22" s="19" t="str">
        <f aca="false">VLOOKUP(C22,Inventory!$A$5:$D$22,2,FALSE())</f>
        <v>Energy Drink 4pk</v>
      </c>
      <c r="E22" s="19" t="str">
        <f aca="false">VLOOKUP(C22,Inventory!$A$5:$D$22,3,FALSE())</f>
        <v>Dining &amp; Snacks</v>
      </c>
      <c r="F22" s="19" t="n">
        <v>3</v>
      </c>
      <c r="G22" s="20" t="n">
        <f aca="false">VLOOKUP(C22,Inventory!$A$5:$D$22,4,FALSE())</f>
        <v>7.99</v>
      </c>
      <c r="H22" s="20" t="n">
        <f aca="false">F22*G22</f>
        <v>23.97</v>
      </c>
      <c r="I22" s="19" t="s">
        <v>92</v>
      </c>
    </row>
    <row r="23" customFormat="false" ht="15" hidden="false" customHeight="false" outlineLevel="0" collapsed="false">
      <c r="A23" s="37" t="n">
        <v>46029</v>
      </c>
      <c r="B23" s="22" t="str">
        <f aca="false">TEXT(A23,"mmm")</f>
        <v>Jan</v>
      </c>
      <c r="C23" s="22" t="s">
        <v>32</v>
      </c>
      <c r="D23" s="22" t="str">
        <f aca="false">VLOOKUP(C23,Inventory!$A$5:$D$22,2,FALSE())</f>
        <v>Organic Chemistry Manual</v>
      </c>
      <c r="E23" s="22" t="str">
        <f aca="false">VLOOKUP(C23,Inventory!$A$5:$D$22,3,FALSE())</f>
        <v>Textbooks</v>
      </c>
      <c r="F23" s="22" t="n">
        <v>19</v>
      </c>
      <c r="G23" s="23" t="n">
        <f aca="false">VLOOKUP(C23,Inventory!$A$5:$D$22,4,FALSE())</f>
        <v>96</v>
      </c>
      <c r="H23" s="23" t="n">
        <f aca="false">F23*G23</f>
        <v>1824</v>
      </c>
      <c r="I23" s="22" t="s">
        <v>94</v>
      </c>
    </row>
    <row r="24" customFormat="false" ht="15" hidden="false" customHeight="false" outlineLevel="0" collapsed="false">
      <c r="A24" s="38" t="n">
        <v>46042</v>
      </c>
      <c r="B24" s="19" t="str">
        <f aca="false">TEXT(A24,"mmm")</f>
        <v>Jan</v>
      </c>
      <c r="C24" s="19" t="s">
        <v>25</v>
      </c>
      <c r="D24" s="19" t="str">
        <f aca="false">VLOOKUP(C24,Inventory!$A$5:$D$22,2,FALSE())</f>
        <v>Intro to Psychology (Textbook)</v>
      </c>
      <c r="E24" s="19" t="str">
        <f aca="false">VLOOKUP(C24,Inventory!$A$5:$D$22,3,FALSE())</f>
        <v>Textbooks</v>
      </c>
      <c r="F24" s="19" t="n">
        <v>12</v>
      </c>
      <c r="G24" s="20" t="n">
        <f aca="false">VLOOKUP(C24,Inventory!$A$5:$D$22,4,FALSE())</f>
        <v>89.99</v>
      </c>
      <c r="H24" s="20" t="n">
        <f aca="false">F24*G24</f>
        <v>1079.88</v>
      </c>
      <c r="I24" s="19" t="s">
        <v>95</v>
      </c>
    </row>
    <row r="25" customFormat="false" ht="15" hidden="false" customHeight="false" outlineLevel="0" collapsed="false">
      <c r="A25" s="37" t="n">
        <v>46058</v>
      </c>
      <c r="B25" s="22" t="str">
        <f aca="false">TEXT(A25,"mmm")</f>
        <v>Feb</v>
      </c>
      <c r="C25" s="22" t="s">
        <v>54</v>
      </c>
      <c r="D25" s="22" t="str">
        <f aca="false">VLOOKUP(C25,Inventory!$A$5:$D$22,2,FALSE())</f>
        <v>Mini Fridge</v>
      </c>
      <c r="E25" s="22" t="str">
        <f aca="false">VLOOKUP(C25,Inventory!$A$5:$D$22,3,FALSE())</f>
        <v>Dorm Essentials</v>
      </c>
      <c r="F25" s="22" t="n">
        <v>19</v>
      </c>
      <c r="G25" s="23" t="n">
        <f aca="false">VLOOKUP(C25,Inventory!$A$5:$D$22,4,FALSE())</f>
        <v>119</v>
      </c>
      <c r="H25" s="23" t="n">
        <f aca="false">F25*G25</f>
        <v>2261</v>
      </c>
      <c r="I25" s="22" t="s">
        <v>93</v>
      </c>
    </row>
    <row r="26" customFormat="false" ht="15" hidden="false" customHeight="false" outlineLevel="0" collapsed="false">
      <c r="A26" s="38" t="n">
        <v>46081</v>
      </c>
      <c r="B26" s="19" t="str">
        <f aca="false">TEXT(A26,"mmm")</f>
        <v>Feb</v>
      </c>
      <c r="C26" s="19" t="s">
        <v>38</v>
      </c>
      <c r="D26" s="19" t="str">
        <f aca="false">VLOOKUP(C26,Inventory!$A$5:$D$22,2,FALSE())</f>
        <v>Campus Store T-Shirt</v>
      </c>
      <c r="E26" s="19" t="str">
        <f aca="false">VLOOKUP(C26,Inventory!$A$5:$D$22,3,FALSE())</f>
        <v>Apparel &amp; Spirit Wear</v>
      </c>
      <c r="F26" s="19" t="n">
        <v>13</v>
      </c>
      <c r="G26" s="20" t="n">
        <f aca="false">VLOOKUP(C26,Inventory!$A$5:$D$22,4,FALSE())</f>
        <v>19.99</v>
      </c>
      <c r="H26" s="20" t="n">
        <f aca="false">F26*G26</f>
        <v>259.87</v>
      </c>
      <c r="I26" s="19" t="s">
        <v>94</v>
      </c>
    </row>
    <row r="27" customFormat="false" ht="15" hidden="false" customHeight="false" outlineLevel="0" collapsed="false">
      <c r="A27" s="37" t="n">
        <v>46063</v>
      </c>
      <c r="B27" s="22" t="str">
        <f aca="false">TEXT(A27,"mmm")</f>
        <v>Feb</v>
      </c>
      <c r="C27" s="22" t="s">
        <v>38</v>
      </c>
      <c r="D27" s="22" t="str">
        <f aca="false">VLOOKUP(C27,Inventory!$A$5:$D$22,2,FALSE())</f>
        <v>Campus Store T-Shirt</v>
      </c>
      <c r="E27" s="22" t="str">
        <f aca="false">VLOOKUP(C27,Inventory!$A$5:$D$22,3,FALSE())</f>
        <v>Apparel &amp; Spirit Wear</v>
      </c>
      <c r="F27" s="22" t="n">
        <v>8</v>
      </c>
      <c r="G27" s="23" t="n">
        <f aca="false">VLOOKUP(C27,Inventory!$A$5:$D$22,4,FALSE())</f>
        <v>19.99</v>
      </c>
      <c r="H27" s="23" t="n">
        <f aca="false">F27*G27</f>
        <v>159.92</v>
      </c>
      <c r="I27" s="22" t="s">
        <v>94</v>
      </c>
    </row>
    <row r="28" customFormat="false" ht="15" hidden="false" customHeight="false" outlineLevel="0" collapsed="false">
      <c r="A28" s="38" t="n">
        <v>46059</v>
      </c>
      <c r="B28" s="19" t="str">
        <f aca="false">TEXT(A28,"mmm")</f>
        <v>Feb</v>
      </c>
      <c r="C28" s="19" t="s">
        <v>42</v>
      </c>
      <c r="D28" s="19" t="str">
        <f aca="false">VLOOKUP(C28,Inventory!$A$5:$D$22,2,FALSE())</f>
        <v>Scientific Calculator</v>
      </c>
      <c r="E28" s="19" t="str">
        <f aca="false">VLOOKUP(C28,Inventory!$A$5:$D$22,3,FALSE())</f>
        <v>Electronics &amp; Supplies</v>
      </c>
      <c r="F28" s="19" t="n">
        <v>18</v>
      </c>
      <c r="G28" s="20" t="n">
        <f aca="false">VLOOKUP(C28,Inventory!$A$5:$D$22,4,FALSE())</f>
        <v>24.99</v>
      </c>
      <c r="H28" s="20" t="n">
        <f aca="false">F28*G28</f>
        <v>449.82</v>
      </c>
      <c r="I28" s="19" t="s">
        <v>94</v>
      </c>
    </row>
    <row r="29" customFormat="false" ht="15" hidden="false" customHeight="false" outlineLevel="0" collapsed="false">
      <c r="A29" s="37" t="n">
        <v>46069</v>
      </c>
      <c r="B29" s="22" t="str">
        <f aca="false">TEXT(A29,"mmm")</f>
        <v>Feb</v>
      </c>
      <c r="C29" s="22" t="s">
        <v>52</v>
      </c>
      <c r="D29" s="22" t="str">
        <f aca="false">VLOOKUP(C29,Inventory!$A$5:$D$22,2,FALSE())</f>
        <v>Twin XL Bedsheet Set</v>
      </c>
      <c r="E29" s="22" t="str">
        <f aca="false">VLOOKUP(C29,Inventory!$A$5:$D$22,3,FALSE())</f>
        <v>Dorm Essentials</v>
      </c>
      <c r="F29" s="22" t="n">
        <v>20</v>
      </c>
      <c r="G29" s="23" t="n">
        <f aca="false">VLOOKUP(C29,Inventory!$A$5:$D$22,4,FALSE())</f>
        <v>34.99</v>
      </c>
      <c r="H29" s="23" t="n">
        <f aca="false">F29*G29</f>
        <v>699.8</v>
      </c>
      <c r="I29" s="22" t="s">
        <v>92</v>
      </c>
    </row>
    <row r="30" customFormat="false" ht="15" hidden="false" customHeight="false" outlineLevel="0" collapsed="false">
      <c r="A30" s="38" t="n">
        <v>46055</v>
      </c>
      <c r="B30" s="19" t="str">
        <f aca="false">TEXT(A30,"mmm")</f>
        <v>Feb</v>
      </c>
      <c r="C30" s="19" t="s">
        <v>53</v>
      </c>
      <c r="D30" s="19" t="str">
        <f aca="false">VLOOKUP(C30,Inventory!$A$5:$D$22,2,FALSE())</f>
        <v>Desk Lamp</v>
      </c>
      <c r="E30" s="19" t="str">
        <f aca="false">VLOOKUP(C30,Inventory!$A$5:$D$22,3,FALSE())</f>
        <v>Dorm Essentials</v>
      </c>
      <c r="F30" s="19" t="n">
        <v>4</v>
      </c>
      <c r="G30" s="20" t="n">
        <f aca="false">VLOOKUP(C30,Inventory!$A$5:$D$22,4,FALSE())</f>
        <v>21.99</v>
      </c>
      <c r="H30" s="20" t="n">
        <f aca="false">F30*G30</f>
        <v>87.96</v>
      </c>
      <c r="I30" s="19" t="s">
        <v>92</v>
      </c>
    </row>
    <row r="31" customFormat="false" ht="15" hidden="false" customHeight="false" outlineLevel="0" collapsed="false">
      <c r="A31" s="37" t="n">
        <v>46070</v>
      </c>
      <c r="B31" s="22" t="str">
        <f aca="false">TEXT(A31,"mmm")</f>
        <v>Feb</v>
      </c>
      <c r="C31" s="22" t="s">
        <v>29</v>
      </c>
      <c r="D31" s="22" t="str">
        <f aca="false">VLOOKUP(C31,Inventory!$A$5:$D$22,2,FALSE())</f>
        <v>Calculus II Course Pack</v>
      </c>
      <c r="E31" s="22" t="str">
        <f aca="false">VLOOKUP(C31,Inventory!$A$5:$D$22,3,FALSE())</f>
        <v>Textbooks</v>
      </c>
      <c r="F31" s="22" t="n">
        <v>9</v>
      </c>
      <c r="G31" s="23" t="n">
        <f aca="false">VLOOKUP(C31,Inventory!$A$5:$D$22,4,FALSE())</f>
        <v>74.5</v>
      </c>
      <c r="H31" s="23" t="n">
        <f aca="false">F31*G31</f>
        <v>670.5</v>
      </c>
      <c r="I31" s="22" t="s">
        <v>94</v>
      </c>
    </row>
    <row r="32" customFormat="false" ht="15" hidden="false" customHeight="false" outlineLevel="0" collapsed="false">
      <c r="A32" s="38" t="n">
        <v>46062</v>
      </c>
      <c r="B32" s="19" t="str">
        <f aca="false">TEXT(A32,"mmm")</f>
        <v>Feb</v>
      </c>
      <c r="C32" s="19" t="s">
        <v>52</v>
      </c>
      <c r="D32" s="19" t="str">
        <f aca="false">VLOOKUP(C32,Inventory!$A$5:$D$22,2,FALSE())</f>
        <v>Twin XL Bedsheet Set</v>
      </c>
      <c r="E32" s="19" t="str">
        <f aca="false">VLOOKUP(C32,Inventory!$A$5:$D$22,3,FALSE())</f>
        <v>Dorm Essentials</v>
      </c>
      <c r="F32" s="19" t="n">
        <v>14</v>
      </c>
      <c r="G32" s="20" t="n">
        <f aca="false">VLOOKUP(C32,Inventory!$A$5:$D$22,4,FALSE())</f>
        <v>34.99</v>
      </c>
      <c r="H32" s="20" t="n">
        <f aca="false">F32*G32</f>
        <v>489.86</v>
      </c>
      <c r="I32" s="19" t="s">
        <v>93</v>
      </c>
    </row>
    <row r="33" customFormat="false" ht="15" hidden="false" customHeight="false" outlineLevel="0" collapsed="false">
      <c r="A33" s="37" t="n">
        <v>46070</v>
      </c>
      <c r="B33" s="22" t="str">
        <f aca="false">TEXT(A33,"mmm")</f>
        <v>Feb</v>
      </c>
      <c r="C33" s="22" t="s">
        <v>49</v>
      </c>
      <c r="D33" s="22" t="str">
        <f aca="false">VLOOKUP(C33,Inventory!$A$5:$D$22,2,FALSE())</f>
        <v>Energy Drink 4pk</v>
      </c>
      <c r="E33" s="22" t="str">
        <f aca="false">VLOOKUP(C33,Inventory!$A$5:$D$22,3,FALSE())</f>
        <v>Dining &amp; Snacks</v>
      </c>
      <c r="F33" s="22" t="n">
        <v>6</v>
      </c>
      <c r="G33" s="23" t="n">
        <f aca="false">VLOOKUP(C33,Inventory!$A$5:$D$22,4,FALSE())</f>
        <v>7.99</v>
      </c>
      <c r="H33" s="23" t="n">
        <f aca="false">F33*G33</f>
        <v>47.94</v>
      </c>
      <c r="I33" s="22" t="s">
        <v>92</v>
      </c>
    </row>
    <row r="34" customFormat="false" ht="15" hidden="false" customHeight="false" outlineLevel="0" collapsed="false">
      <c r="A34" s="38" t="n">
        <v>46061</v>
      </c>
      <c r="B34" s="19" t="str">
        <f aca="false">TEXT(A34,"mmm")</f>
        <v>Feb</v>
      </c>
      <c r="C34" s="19" t="s">
        <v>38</v>
      </c>
      <c r="D34" s="19" t="str">
        <f aca="false">VLOOKUP(C34,Inventory!$A$5:$D$22,2,FALSE())</f>
        <v>Campus Store T-Shirt</v>
      </c>
      <c r="E34" s="19" t="str">
        <f aca="false">VLOOKUP(C34,Inventory!$A$5:$D$22,3,FALSE())</f>
        <v>Apparel &amp; Spirit Wear</v>
      </c>
      <c r="F34" s="19" t="n">
        <v>16</v>
      </c>
      <c r="G34" s="20" t="n">
        <f aca="false">VLOOKUP(C34,Inventory!$A$5:$D$22,4,FALSE())</f>
        <v>19.99</v>
      </c>
      <c r="H34" s="20" t="n">
        <f aca="false">F34*G34</f>
        <v>319.84</v>
      </c>
      <c r="I34" s="19" t="s">
        <v>92</v>
      </c>
    </row>
    <row r="35" customFormat="false" ht="15" hidden="false" customHeight="false" outlineLevel="0" collapsed="false">
      <c r="A35" s="37" t="n">
        <v>46060</v>
      </c>
      <c r="B35" s="22" t="str">
        <f aca="false">TEXT(A35,"mmm")</f>
        <v>Feb</v>
      </c>
      <c r="C35" s="22" t="s">
        <v>45</v>
      </c>
      <c r="D35" s="22" t="str">
        <f aca="false">VLOOKUP(C35,Inventory!$A$5:$D$22,2,FALSE())</f>
        <v>Wireless Mouse</v>
      </c>
      <c r="E35" s="22" t="str">
        <f aca="false">VLOOKUP(C35,Inventory!$A$5:$D$22,3,FALSE())</f>
        <v>Electronics &amp; Supplies</v>
      </c>
      <c r="F35" s="22" t="n">
        <v>7</v>
      </c>
      <c r="G35" s="23" t="n">
        <f aca="false">VLOOKUP(C35,Inventory!$A$5:$D$22,4,FALSE())</f>
        <v>18.49</v>
      </c>
      <c r="H35" s="23" t="n">
        <f aca="false">F35*G35</f>
        <v>129.43</v>
      </c>
      <c r="I35" s="22" t="s">
        <v>92</v>
      </c>
    </row>
    <row r="36" customFormat="false" ht="15" hidden="false" customHeight="false" outlineLevel="0" collapsed="false">
      <c r="A36" s="38" t="n">
        <v>46062</v>
      </c>
      <c r="B36" s="19" t="str">
        <f aca="false">TEXT(A36,"mmm")</f>
        <v>Feb</v>
      </c>
      <c r="C36" s="19" t="s">
        <v>32</v>
      </c>
      <c r="D36" s="19" t="str">
        <f aca="false">VLOOKUP(C36,Inventory!$A$5:$D$22,2,FALSE())</f>
        <v>Organic Chemistry Manual</v>
      </c>
      <c r="E36" s="19" t="str">
        <f aca="false">VLOOKUP(C36,Inventory!$A$5:$D$22,3,FALSE())</f>
        <v>Textbooks</v>
      </c>
      <c r="F36" s="19" t="n">
        <v>14</v>
      </c>
      <c r="G36" s="20" t="n">
        <f aca="false">VLOOKUP(C36,Inventory!$A$5:$D$22,4,FALSE())</f>
        <v>96</v>
      </c>
      <c r="H36" s="20" t="n">
        <f aca="false">F36*G36</f>
        <v>1344</v>
      </c>
      <c r="I36" s="19" t="s">
        <v>93</v>
      </c>
    </row>
    <row r="37" customFormat="false" ht="15" hidden="false" customHeight="false" outlineLevel="0" collapsed="false">
      <c r="A37" s="37" t="n">
        <v>46055</v>
      </c>
      <c r="B37" s="22" t="str">
        <f aca="false">TEXT(A37,"mmm")</f>
        <v>Feb</v>
      </c>
      <c r="C37" s="22" t="s">
        <v>43</v>
      </c>
      <c r="D37" s="22" t="str">
        <f aca="false">VLOOKUP(C37,Inventory!$A$5:$D$22,2,FALSE())</f>
        <v>USB-C Charging Cable</v>
      </c>
      <c r="E37" s="22" t="str">
        <f aca="false">VLOOKUP(C37,Inventory!$A$5:$D$22,3,FALSE())</f>
        <v>Electronics &amp; Supplies</v>
      </c>
      <c r="F37" s="22" t="n">
        <v>2</v>
      </c>
      <c r="G37" s="23" t="n">
        <f aca="false">VLOOKUP(C37,Inventory!$A$5:$D$22,4,FALSE())</f>
        <v>14.99</v>
      </c>
      <c r="H37" s="23" t="n">
        <f aca="false">F37*G37</f>
        <v>29.98</v>
      </c>
      <c r="I37" s="22" t="s">
        <v>94</v>
      </c>
    </row>
    <row r="38" customFormat="false" ht="15" hidden="false" customHeight="false" outlineLevel="0" collapsed="false">
      <c r="A38" s="38" t="n">
        <v>46065</v>
      </c>
      <c r="B38" s="19" t="str">
        <f aca="false">TEXT(A38,"mmm")</f>
        <v>Feb</v>
      </c>
      <c r="C38" s="19" t="s">
        <v>49</v>
      </c>
      <c r="D38" s="19" t="str">
        <f aca="false">VLOOKUP(C38,Inventory!$A$5:$D$22,2,FALSE())</f>
        <v>Energy Drink 4pk</v>
      </c>
      <c r="E38" s="19" t="str">
        <f aca="false">VLOOKUP(C38,Inventory!$A$5:$D$22,3,FALSE())</f>
        <v>Dining &amp; Snacks</v>
      </c>
      <c r="F38" s="19" t="n">
        <v>17</v>
      </c>
      <c r="G38" s="20" t="n">
        <f aca="false">VLOOKUP(C38,Inventory!$A$5:$D$22,4,FALSE())</f>
        <v>7.99</v>
      </c>
      <c r="H38" s="20" t="n">
        <f aca="false">F38*G38</f>
        <v>135.83</v>
      </c>
      <c r="I38" s="19" t="s">
        <v>94</v>
      </c>
    </row>
    <row r="39" customFormat="false" ht="15" hidden="false" customHeight="false" outlineLevel="0" collapsed="false">
      <c r="A39" s="37" t="n">
        <v>46065</v>
      </c>
      <c r="B39" s="22" t="str">
        <f aca="false">TEXT(A39,"mmm")</f>
        <v>Feb</v>
      </c>
      <c r="C39" s="22" t="s">
        <v>32</v>
      </c>
      <c r="D39" s="22" t="str">
        <f aca="false">VLOOKUP(C39,Inventory!$A$5:$D$22,2,FALSE())</f>
        <v>Organic Chemistry Manual</v>
      </c>
      <c r="E39" s="22" t="str">
        <f aca="false">VLOOKUP(C39,Inventory!$A$5:$D$22,3,FALSE())</f>
        <v>Textbooks</v>
      </c>
      <c r="F39" s="22" t="n">
        <v>5</v>
      </c>
      <c r="G39" s="23" t="n">
        <f aca="false">VLOOKUP(C39,Inventory!$A$5:$D$22,4,FALSE())</f>
        <v>96</v>
      </c>
      <c r="H39" s="23" t="n">
        <f aca="false">F39*G39</f>
        <v>480</v>
      </c>
      <c r="I39" s="22" t="s">
        <v>93</v>
      </c>
    </row>
    <row r="40" customFormat="false" ht="15" hidden="false" customHeight="false" outlineLevel="0" collapsed="false">
      <c r="A40" s="38" t="n">
        <v>46075</v>
      </c>
      <c r="B40" s="19" t="str">
        <f aca="false">TEXT(A40,"mmm")</f>
        <v>Feb</v>
      </c>
      <c r="C40" s="19" t="s">
        <v>50</v>
      </c>
      <c r="D40" s="19" t="str">
        <f aca="false">VLOOKUP(C40,Inventory!$A$5:$D$22,2,FALSE())</f>
        <v>Trail Mix Bag</v>
      </c>
      <c r="E40" s="19" t="str">
        <f aca="false">VLOOKUP(C40,Inventory!$A$5:$D$22,3,FALSE())</f>
        <v>Dining &amp; Snacks</v>
      </c>
      <c r="F40" s="19" t="n">
        <v>17</v>
      </c>
      <c r="G40" s="20" t="n">
        <f aca="false">VLOOKUP(C40,Inventory!$A$5:$D$22,4,FALSE())</f>
        <v>4.49</v>
      </c>
      <c r="H40" s="20" t="n">
        <f aca="false">F40*G40</f>
        <v>76.33</v>
      </c>
      <c r="I40" s="19" t="s">
        <v>94</v>
      </c>
    </row>
    <row r="41" customFormat="false" ht="15" hidden="false" customHeight="false" outlineLevel="0" collapsed="false">
      <c r="A41" s="37" t="n">
        <v>46054</v>
      </c>
      <c r="B41" s="22" t="str">
        <f aca="false">TEXT(A41,"mmm")</f>
        <v>Feb</v>
      </c>
      <c r="C41" s="22" t="s">
        <v>29</v>
      </c>
      <c r="D41" s="22" t="str">
        <f aca="false">VLOOKUP(C41,Inventory!$A$5:$D$22,2,FALSE())</f>
        <v>Calculus II Course Pack</v>
      </c>
      <c r="E41" s="22" t="str">
        <f aca="false">VLOOKUP(C41,Inventory!$A$5:$D$22,3,FALSE())</f>
        <v>Textbooks</v>
      </c>
      <c r="F41" s="22" t="n">
        <v>16</v>
      </c>
      <c r="G41" s="23" t="n">
        <f aca="false">VLOOKUP(C41,Inventory!$A$5:$D$22,4,FALSE())</f>
        <v>74.5</v>
      </c>
      <c r="H41" s="23" t="n">
        <f aca="false">F41*G41</f>
        <v>1192</v>
      </c>
      <c r="I41" s="22" t="s">
        <v>95</v>
      </c>
    </row>
    <row r="42" customFormat="false" ht="15" hidden="false" customHeight="false" outlineLevel="0" collapsed="false">
      <c r="A42" s="38" t="n">
        <v>46055</v>
      </c>
      <c r="B42" s="19" t="str">
        <f aca="false">TEXT(A42,"mmm")</f>
        <v>Feb</v>
      </c>
      <c r="C42" s="19" t="s">
        <v>49</v>
      </c>
      <c r="D42" s="19" t="str">
        <f aca="false">VLOOKUP(C42,Inventory!$A$5:$D$22,2,FALSE())</f>
        <v>Energy Drink 4pk</v>
      </c>
      <c r="E42" s="19" t="str">
        <f aca="false">VLOOKUP(C42,Inventory!$A$5:$D$22,3,FALSE())</f>
        <v>Dining &amp; Snacks</v>
      </c>
      <c r="F42" s="19" t="n">
        <v>1</v>
      </c>
      <c r="G42" s="20" t="n">
        <f aca="false">VLOOKUP(C42,Inventory!$A$5:$D$22,4,FALSE())</f>
        <v>7.99</v>
      </c>
      <c r="H42" s="20" t="n">
        <f aca="false">F42*G42</f>
        <v>7.99</v>
      </c>
      <c r="I42" s="19" t="s">
        <v>92</v>
      </c>
    </row>
    <row r="43" customFormat="false" ht="15" hidden="false" customHeight="false" outlineLevel="0" collapsed="false">
      <c r="A43" s="37" t="n">
        <v>46105</v>
      </c>
      <c r="B43" s="22" t="str">
        <f aca="false">TEXT(A43,"mmm")</f>
        <v>Mar</v>
      </c>
      <c r="C43" s="22" t="s">
        <v>32</v>
      </c>
      <c r="D43" s="22" t="str">
        <f aca="false">VLOOKUP(C43,Inventory!$A$5:$D$22,2,FALSE())</f>
        <v>Organic Chemistry Manual</v>
      </c>
      <c r="E43" s="22" t="str">
        <f aca="false">VLOOKUP(C43,Inventory!$A$5:$D$22,3,FALSE())</f>
        <v>Textbooks</v>
      </c>
      <c r="F43" s="22" t="n">
        <v>10</v>
      </c>
      <c r="G43" s="23" t="n">
        <f aca="false">VLOOKUP(C43,Inventory!$A$5:$D$22,4,FALSE())</f>
        <v>96</v>
      </c>
      <c r="H43" s="23" t="n">
        <f aca="false">F43*G43</f>
        <v>960</v>
      </c>
      <c r="I43" s="22" t="s">
        <v>95</v>
      </c>
    </row>
    <row r="44" customFormat="false" ht="15" hidden="false" customHeight="false" outlineLevel="0" collapsed="false">
      <c r="A44" s="38" t="n">
        <v>46084</v>
      </c>
      <c r="B44" s="19" t="str">
        <f aca="false">TEXT(A44,"mmm")</f>
        <v>Mar</v>
      </c>
      <c r="C44" s="19" t="s">
        <v>38</v>
      </c>
      <c r="D44" s="19" t="str">
        <f aca="false">VLOOKUP(C44,Inventory!$A$5:$D$22,2,FALSE())</f>
        <v>Campus Store T-Shirt</v>
      </c>
      <c r="E44" s="19" t="str">
        <f aca="false">VLOOKUP(C44,Inventory!$A$5:$D$22,3,FALSE())</f>
        <v>Apparel &amp; Spirit Wear</v>
      </c>
      <c r="F44" s="19" t="n">
        <v>3</v>
      </c>
      <c r="G44" s="20" t="n">
        <f aca="false">VLOOKUP(C44,Inventory!$A$5:$D$22,4,FALSE())</f>
        <v>19.99</v>
      </c>
      <c r="H44" s="20" t="n">
        <f aca="false">F44*G44</f>
        <v>59.97</v>
      </c>
      <c r="I44" s="19" t="s">
        <v>93</v>
      </c>
    </row>
    <row r="45" customFormat="false" ht="15" hidden="false" customHeight="false" outlineLevel="0" collapsed="false">
      <c r="A45" s="37" t="n">
        <v>46093</v>
      </c>
      <c r="B45" s="22" t="str">
        <f aca="false">TEXT(A45,"mmm")</f>
        <v>Mar</v>
      </c>
      <c r="C45" s="22" t="s">
        <v>58</v>
      </c>
      <c r="D45" s="22" t="str">
        <f aca="false">VLOOKUP(C45,Inventory!$A$5:$D$22,2,FALSE())</f>
        <v>Highlighter Pack</v>
      </c>
      <c r="E45" s="22" t="str">
        <f aca="false">VLOOKUP(C45,Inventory!$A$5:$D$22,3,FALSE())</f>
        <v>School Supplies</v>
      </c>
      <c r="F45" s="22" t="n">
        <v>2</v>
      </c>
      <c r="G45" s="23" t="n">
        <f aca="false">VLOOKUP(C45,Inventory!$A$5:$D$22,4,FALSE())</f>
        <v>5.49</v>
      </c>
      <c r="H45" s="23" t="n">
        <f aca="false">F45*G45</f>
        <v>10.98</v>
      </c>
      <c r="I45" s="22" t="s">
        <v>94</v>
      </c>
    </row>
    <row r="46" customFormat="false" ht="15" hidden="false" customHeight="false" outlineLevel="0" collapsed="false">
      <c r="A46" s="38" t="n">
        <v>46093</v>
      </c>
      <c r="B46" s="19" t="str">
        <f aca="false">TEXT(A46,"mmm")</f>
        <v>Mar</v>
      </c>
      <c r="C46" s="19" t="s">
        <v>50</v>
      </c>
      <c r="D46" s="19" t="str">
        <f aca="false">VLOOKUP(C46,Inventory!$A$5:$D$22,2,FALSE())</f>
        <v>Trail Mix Bag</v>
      </c>
      <c r="E46" s="19" t="str">
        <f aca="false">VLOOKUP(C46,Inventory!$A$5:$D$22,3,FALSE())</f>
        <v>Dining &amp; Snacks</v>
      </c>
      <c r="F46" s="19" t="n">
        <v>3</v>
      </c>
      <c r="G46" s="20" t="n">
        <f aca="false">VLOOKUP(C46,Inventory!$A$5:$D$22,4,FALSE())</f>
        <v>4.49</v>
      </c>
      <c r="H46" s="20" t="n">
        <f aca="false">F46*G46</f>
        <v>13.47</v>
      </c>
      <c r="I46" s="19" t="s">
        <v>93</v>
      </c>
    </row>
    <row r="47" customFormat="false" ht="15" hidden="false" customHeight="false" outlineLevel="0" collapsed="false">
      <c r="A47" s="37" t="n">
        <v>46109</v>
      </c>
      <c r="B47" s="22" t="str">
        <f aca="false">TEXT(A47,"mmm")</f>
        <v>Mar</v>
      </c>
      <c r="C47" s="22" t="s">
        <v>32</v>
      </c>
      <c r="D47" s="22" t="str">
        <f aca="false">VLOOKUP(C47,Inventory!$A$5:$D$22,2,FALSE())</f>
        <v>Organic Chemistry Manual</v>
      </c>
      <c r="E47" s="22" t="str">
        <f aca="false">VLOOKUP(C47,Inventory!$A$5:$D$22,3,FALSE())</f>
        <v>Textbooks</v>
      </c>
      <c r="F47" s="22" t="n">
        <v>14</v>
      </c>
      <c r="G47" s="23" t="n">
        <f aca="false">VLOOKUP(C47,Inventory!$A$5:$D$22,4,FALSE())</f>
        <v>96</v>
      </c>
      <c r="H47" s="23" t="n">
        <f aca="false">F47*G47</f>
        <v>1344</v>
      </c>
      <c r="I47" s="22" t="s">
        <v>92</v>
      </c>
    </row>
    <row r="48" customFormat="false" ht="15" hidden="false" customHeight="false" outlineLevel="0" collapsed="false">
      <c r="A48" s="38" t="n">
        <v>46100</v>
      </c>
      <c r="B48" s="19" t="str">
        <f aca="false">TEXT(A48,"mmm")</f>
        <v>Mar</v>
      </c>
      <c r="C48" s="19" t="s">
        <v>55</v>
      </c>
      <c r="D48" s="19" t="str">
        <f aca="false">VLOOKUP(C48,Inventory!$A$5:$D$22,2,FALSE())</f>
        <v>Spiral Notebook 5pk</v>
      </c>
      <c r="E48" s="19" t="str">
        <f aca="false">VLOOKUP(C48,Inventory!$A$5:$D$22,3,FALSE())</f>
        <v>School Supplies</v>
      </c>
      <c r="F48" s="19" t="n">
        <v>1</v>
      </c>
      <c r="G48" s="20" t="n">
        <f aca="false">VLOOKUP(C48,Inventory!$A$5:$D$22,4,FALSE())</f>
        <v>9.99</v>
      </c>
      <c r="H48" s="20" t="n">
        <f aca="false">F48*G48</f>
        <v>9.99</v>
      </c>
      <c r="I48" s="19" t="s">
        <v>93</v>
      </c>
    </row>
    <row r="49" customFormat="false" ht="15" hidden="false" customHeight="false" outlineLevel="0" collapsed="false">
      <c r="A49" s="37" t="n">
        <v>46100</v>
      </c>
      <c r="B49" s="22" t="str">
        <f aca="false">TEXT(A49,"mmm")</f>
        <v>Mar</v>
      </c>
      <c r="C49" s="22" t="s">
        <v>52</v>
      </c>
      <c r="D49" s="22" t="str">
        <f aca="false">VLOOKUP(C49,Inventory!$A$5:$D$22,2,FALSE())</f>
        <v>Twin XL Bedsheet Set</v>
      </c>
      <c r="E49" s="22" t="str">
        <f aca="false">VLOOKUP(C49,Inventory!$A$5:$D$22,3,FALSE())</f>
        <v>Dorm Essentials</v>
      </c>
      <c r="F49" s="22" t="n">
        <v>1</v>
      </c>
      <c r="G49" s="23" t="n">
        <f aca="false">VLOOKUP(C49,Inventory!$A$5:$D$22,4,FALSE())</f>
        <v>34.99</v>
      </c>
      <c r="H49" s="23" t="n">
        <f aca="false">F49*G49</f>
        <v>34.99</v>
      </c>
      <c r="I49" s="22" t="s">
        <v>92</v>
      </c>
    </row>
    <row r="50" customFormat="false" ht="15" hidden="false" customHeight="false" outlineLevel="0" collapsed="false">
      <c r="A50" s="38" t="n">
        <v>46084</v>
      </c>
      <c r="B50" s="19" t="str">
        <f aca="false">TEXT(A50,"mmm")</f>
        <v>Mar</v>
      </c>
      <c r="C50" s="19" t="s">
        <v>32</v>
      </c>
      <c r="D50" s="19" t="str">
        <f aca="false">VLOOKUP(C50,Inventory!$A$5:$D$22,2,FALSE())</f>
        <v>Organic Chemistry Manual</v>
      </c>
      <c r="E50" s="19" t="str">
        <f aca="false">VLOOKUP(C50,Inventory!$A$5:$D$22,3,FALSE())</f>
        <v>Textbooks</v>
      </c>
      <c r="F50" s="19" t="n">
        <v>4</v>
      </c>
      <c r="G50" s="20" t="n">
        <f aca="false">VLOOKUP(C50,Inventory!$A$5:$D$22,4,FALSE())</f>
        <v>96</v>
      </c>
      <c r="H50" s="20" t="n">
        <f aca="false">F50*G50</f>
        <v>384</v>
      </c>
      <c r="I50" s="19" t="s">
        <v>95</v>
      </c>
    </row>
    <row r="51" customFormat="false" ht="15" hidden="false" customHeight="false" outlineLevel="0" collapsed="false">
      <c r="A51" s="37" t="n">
        <v>46105</v>
      </c>
      <c r="B51" s="22" t="str">
        <f aca="false">TEXT(A51,"mmm")</f>
        <v>Mar</v>
      </c>
      <c r="C51" s="22" t="s">
        <v>53</v>
      </c>
      <c r="D51" s="22" t="str">
        <f aca="false">VLOOKUP(C51,Inventory!$A$5:$D$22,2,FALSE())</f>
        <v>Desk Lamp</v>
      </c>
      <c r="E51" s="22" t="str">
        <f aca="false">VLOOKUP(C51,Inventory!$A$5:$D$22,3,FALSE())</f>
        <v>Dorm Essentials</v>
      </c>
      <c r="F51" s="22" t="n">
        <v>11</v>
      </c>
      <c r="G51" s="23" t="n">
        <f aca="false">VLOOKUP(C51,Inventory!$A$5:$D$22,4,FALSE())</f>
        <v>21.99</v>
      </c>
      <c r="H51" s="23" t="n">
        <f aca="false">F51*G51</f>
        <v>241.89</v>
      </c>
      <c r="I51" s="22" t="s">
        <v>93</v>
      </c>
    </row>
    <row r="52" customFormat="false" ht="15" hidden="false" customHeight="false" outlineLevel="0" collapsed="false">
      <c r="A52" s="38" t="n">
        <v>46096</v>
      </c>
      <c r="B52" s="19" t="str">
        <f aca="false">TEXT(A52,"mmm")</f>
        <v>Mar</v>
      </c>
      <c r="C52" s="19" t="s">
        <v>54</v>
      </c>
      <c r="D52" s="19" t="str">
        <f aca="false">VLOOKUP(C52,Inventory!$A$5:$D$22,2,FALSE())</f>
        <v>Mini Fridge</v>
      </c>
      <c r="E52" s="19" t="str">
        <f aca="false">VLOOKUP(C52,Inventory!$A$5:$D$22,3,FALSE())</f>
        <v>Dorm Essentials</v>
      </c>
      <c r="F52" s="19" t="n">
        <v>15</v>
      </c>
      <c r="G52" s="20" t="n">
        <f aca="false">VLOOKUP(C52,Inventory!$A$5:$D$22,4,FALSE())</f>
        <v>119</v>
      </c>
      <c r="H52" s="20" t="n">
        <f aca="false">F52*G52</f>
        <v>1785</v>
      </c>
      <c r="I52" s="19" t="s">
        <v>92</v>
      </c>
    </row>
    <row r="53" customFormat="false" ht="15" hidden="false" customHeight="false" outlineLevel="0" collapsed="false">
      <c r="A53" s="37" t="n">
        <v>46106</v>
      </c>
      <c r="B53" s="22" t="str">
        <f aca="false">TEXT(A53,"mmm")</f>
        <v>Mar</v>
      </c>
      <c r="C53" s="22" t="s">
        <v>57</v>
      </c>
      <c r="D53" s="22" t="str">
        <f aca="false">VLOOKUP(C53,Inventory!$A$5:$D$22,2,FALSE())</f>
        <v>Mechanical Pencil Set</v>
      </c>
      <c r="E53" s="22" t="str">
        <f aca="false">VLOOKUP(C53,Inventory!$A$5:$D$22,3,FALSE())</f>
        <v>School Supplies</v>
      </c>
      <c r="F53" s="22" t="n">
        <v>17</v>
      </c>
      <c r="G53" s="23" t="n">
        <f aca="false">VLOOKUP(C53,Inventory!$A$5:$D$22,4,FALSE())</f>
        <v>6.49</v>
      </c>
      <c r="H53" s="23" t="n">
        <f aca="false">F53*G53</f>
        <v>110.33</v>
      </c>
      <c r="I53" s="22" t="s">
        <v>92</v>
      </c>
    </row>
    <row r="54" customFormat="false" ht="15" hidden="false" customHeight="false" outlineLevel="0" collapsed="false">
      <c r="A54" s="38" t="n">
        <v>46101</v>
      </c>
      <c r="B54" s="19" t="str">
        <f aca="false">TEXT(A54,"mmm")</f>
        <v>Mar</v>
      </c>
      <c r="C54" s="19" t="s">
        <v>49</v>
      </c>
      <c r="D54" s="19" t="str">
        <f aca="false">VLOOKUP(C54,Inventory!$A$5:$D$22,2,FALSE())</f>
        <v>Energy Drink 4pk</v>
      </c>
      <c r="E54" s="19" t="str">
        <f aca="false">VLOOKUP(C54,Inventory!$A$5:$D$22,3,FALSE())</f>
        <v>Dining &amp; Snacks</v>
      </c>
      <c r="F54" s="19" t="n">
        <v>3</v>
      </c>
      <c r="G54" s="20" t="n">
        <f aca="false">VLOOKUP(C54,Inventory!$A$5:$D$22,4,FALSE())</f>
        <v>7.99</v>
      </c>
      <c r="H54" s="20" t="n">
        <f aca="false">F54*G54</f>
        <v>23.97</v>
      </c>
      <c r="I54" s="19" t="s">
        <v>93</v>
      </c>
    </row>
    <row r="55" customFormat="false" ht="15" hidden="false" customHeight="false" outlineLevel="0" collapsed="false">
      <c r="A55" s="37" t="n">
        <v>46089</v>
      </c>
      <c r="B55" s="22" t="str">
        <f aca="false">TEXT(A55,"mmm")</f>
        <v>Mar</v>
      </c>
      <c r="C55" s="22" t="s">
        <v>25</v>
      </c>
      <c r="D55" s="22" t="str">
        <f aca="false">VLOOKUP(C55,Inventory!$A$5:$D$22,2,FALSE())</f>
        <v>Intro to Psychology (Textbook)</v>
      </c>
      <c r="E55" s="22" t="str">
        <f aca="false">VLOOKUP(C55,Inventory!$A$5:$D$22,3,FALSE())</f>
        <v>Textbooks</v>
      </c>
      <c r="F55" s="22" t="n">
        <v>4</v>
      </c>
      <c r="G55" s="23" t="n">
        <f aca="false">VLOOKUP(C55,Inventory!$A$5:$D$22,4,FALSE())</f>
        <v>89.99</v>
      </c>
      <c r="H55" s="23" t="n">
        <f aca="false">F55*G55</f>
        <v>359.96</v>
      </c>
      <c r="I55" s="22" t="s">
        <v>93</v>
      </c>
    </row>
    <row r="56" customFormat="false" ht="15" hidden="false" customHeight="false" outlineLevel="0" collapsed="false">
      <c r="A56" s="38" t="n">
        <v>46090</v>
      </c>
      <c r="B56" s="19" t="str">
        <f aca="false">TEXT(A56,"mmm")</f>
        <v>Mar</v>
      </c>
      <c r="C56" s="19" t="s">
        <v>55</v>
      </c>
      <c r="D56" s="19" t="str">
        <f aca="false">VLOOKUP(C56,Inventory!$A$5:$D$22,2,FALSE())</f>
        <v>Spiral Notebook 5pk</v>
      </c>
      <c r="E56" s="19" t="str">
        <f aca="false">VLOOKUP(C56,Inventory!$A$5:$D$22,3,FALSE())</f>
        <v>School Supplies</v>
      </c>
      <c r="F56" s="19" t="n">
        <v>1</v>
      </c>
      <c r="G56" s="20" t="n">
        <f aca="false">VLOOKUP(C56,Inventory!$A$5:$D$22,4,FALSE())</f>
        <v>9.99</v>
      </c>
      <c r="H56" s="20" t="n">
        <f aca="false">F56*G56</f>
        <v>9.99</v>
      </c>
      <c r="I56" s="19" t="s">
        <v>95</v>
      </c>
    </row>
    <row r="57" customFormat="false" ht="15" hidden="false" customHeight="false" outlineLevel="0" collapsed="false">
      <c r="A57" s="37" t="n">
        <v>46086</v>
      </c>
      <c r="B57" s="22" t="str">
        <f aca="false">TEXT(A57,"mmm")</f>
        <v>Mar</v>
      </c>
      <c r="C57" s="22" t="s">
        <v>49</v>
      </c>
      <c r="D57" s="22" t="str">
        <f aca="false">VLOOKUP(C57,Inventory!$A$5:$D$22,2,FALSE())</f>
        <v>Energy Drink 4pk</v>
      </c>
      <c r="E57" s="22" t="str">
        <f aca="false">VLOOKUP(C57,Inventory!$A$5:$D$22,3,FALSE())</f>
        <v>Dining &amp; Snacks</v>
      </c>
      <c r="F57" s="22" t="n">
        <v>20</v>
      </c>
      <c r="G57" s="23" t="n">
        <f aca="false">VLOOKUP(C57,Inventory!$A$5:$D$22,4,FALSE())</f>
        <v>7.99</v>
      </c>
      <c r="H57" s="23" t="n">
        <f aca="false">F57*G57</f>
        <v>159.8</v>
      </c>
      <c r="I57" s="22" t="s">
        <v>94</v>
      </c>
    </row>
    <row r="58" customFormat="false" ht="15" hidden="false" customHeight="false" outlineLevel="0" collapsed="false">
      <c r="A58" s="38" t="n">
        <v>46087</v>
      </c>
      <c r="B58" s="19" t="str">
        <f aca="false">TEXT(A58,"mmm")</f>
        <v>Mar</v>
      </c>
      <c r="C58" s="19" t="s">
        <v>57</v>
      </c>
      <c r="D58" s="19" t="str">
        <f aca="false">VLOOKUP(C58,Inventory!$A$5:$D$22,2,FALSE())</f>
        <v>Mechanical Pencil Set</v>
      </c>
      <c r="E58" s="19" t="str">
        <f aca="false">VLOOKUP(C58,Inventory!$A$5:$D$22,3,FALSE())</f>
        <v>School Supplies</v>
      </c>
      <c r="F58" s="19" t="n">
        <v>11</v>
      </c>
      <c r="G58" s="20" t="n">
        <f aca="false">VLOOKUP(C58,Inventory!$A$5:$D$22,4,FALSE())</f>
        <v>6.49</v>
      </c>
      <c r="H58" s="20" t="n">
        <f aca="false">F58*G58</f>
        <v>71.39</v>
      </c>
      <c r="I58" s="19" t="s">
        <v>93</v>
      </c>
    </row>
    <row r="59" customFormat="false" ht="15" hidden="false" customHeight="false" outlineLevel="0" collapsed="false">
      <c r="A59" s="37" t="n">
        <v>46089</v>
      </c>
      <c r="B59" s="22" t="str">
        <f aca="false">TEXT(A59,"mmm")</f>
        <v>Mar</v>
      </c>
      <c r="C59" s="22" t="s">
        <v>55</v>
      </c>
      <c r="D59" s="22" t="str">
        <f aca="false">VLOOKUP(C59,Inventory!$A$5:$D$22,2,FALSE())</f>
        <v>Spiral Notebook 5pk</v>
      </c>
      <c r="E59" s="22" t="str">
        <f aca="false">VLOOKUP(C59,Inventory!$A$5:$D$22,3,FALSE())</f>
        <v>School Supplies</v>
      </c>
      <c r="F59" s="22" t="n">
        <v>11</v>
      </c>
      <c r="G59" s="23" t="n">
        <f aca="false">VLOOKUP(C59,Inventory!$A$5:$D$22,4,FALSE())</f>
        <v>9.99</v>
      </c>
      <c r="H59" s="23" t="n">
        <f aca="false">F59*G59</f>
        <v>109.89</v>
      </c>
      <c r="I59" s="22" t="s">
        <v>93</v>
      </c>
    </row>
    <row r="60" customFormat="false" ht="15" hidden="false" customHeight="false" outlineLevel="0" collapsed="false">
      <c r="A60" s="38" t="n">
        <v>46119</v>
      </c>
      <c r="B60" s="19" t="str">
        <f aca="false">TEXT(A60,"mmm")</f>
        <v>Apr</v>
      </c>
      <c r="C60" s="19" t="s">
        <v>45</v>
      </c>
      <c r="D60" s="19" t="str">
        <f aca="false">VLOOKUP(C60,Inventory!$A$5:$D$22,2,FALSE())</f>
        <v>Wireless Mouse</v>
      </c>
      <c r="E60" s="19" t="str">
        <f aca="false">VLOOKUP(C60,Inventory!$A$5:$D$22,3,FALSE())</f>
        <v>Electronics &amp; Supplies</v>
      </c>
      <c r="F60" s="19" t="n">
        <v>14</v>
      </c>
      <c r="G60" s="20" t="n">
        <f aca="false">VLOOKUP(C60,Inventory!$A$5:$D$22,4,FALSE())</f>
        <v>18.49</v>
      </c>
      <c r="H60" s="20" t="n">
        <f aca="false">F60*G60</f>
        <v>258.86</v>
      </c>
      <c r="I60" s="19" t="s">
        <v>94</v>
      </c>
    </row>
    <row r="61" customFormat="false" ht="15" hidden="false" customHeight="false" outlineLevel="0" collapsed="false">
      <c r="A61" s="37" t="n">
        <v>46125</v>
      </c>
      <c r="B61" s="22" t="str">
        <f aca="false">TEXT(A61,"mmm")</f>
        <v>Apr</v>
      </c>
      <c r="C61" s="22" t="s">
        <v>42</v>
      </c>
      <c r="D61" s="22" t="str">
        <f aca="false">VLOOKUP(C61,Inventory!$A$5:$D$22,2,FALSE())</f>
        <v>Scientific Calculator</v>
      </c>
      <c r="E61" s="22" t="str">
        <f aca="false">VLOOKUP(C61,Inventory!$A$5:$D$22,3,FALSE())</f>
        <v>Electronics &amp; Supplies</v>
      </c>
      <c r="F61" s="22" t="n">
        <v>8</v>
      </c>
      <c r="G61" s="23" t="n">
        <f aca="false">VLOOKUP(C61,Inventory!$A$5:$D$22,4,FALSE())</f>
        <v>24.99</v>
      </c>
      <c r="H61" s="23" t="n">
        <f aca="false">F61*G61</f>
        <v>199.92</v>
      </c>
      <c r="I61" s="22" t="s">
        <v>95</v>
      </c>
    </row>
    <row r="62" customFormat="false" ht="15" hidden="false" customHeight="false" outlineLevel="0" collapsed="false">
      <c r="A62" s="38" t="n">
        <v>46117</v>
      </c>
      <c r="B62" s="19" t="str">
        <f aca="false">TEXT(A62,"mmm")</f>
        <v>Apr</v>
      </c>
      <c r="C62" s="19" t="s">
        <v>42</v>
      </c>
      <c r="D62" s="19" t="str">
        <f aca="false">VLOOKUP(C62,Inventory!$A$5:$D$22,2,FALSE())</f>
        <v>Scientific Calculator</v>
      </c>
      <c r="E62" s="19" t="str">
        <f aca="false">VLOOKUP(C62,Inventory!$A$5:$D$22,3,FALSE())</f>
        <v>Electronics &amp; Supplies</v>
      </c>
      <c r="F62" s="19" t="n">
        <v>5</v>
      </c>
      <c r="G62" s="20" t="n">
        <f aca="false">VLOOKUP(C62,Inventory!$A$5:$D$22,4,FALSE())</f>
        <v>24.99</v>
      </c>
      <c r="H62" s="20" t="n">
        <f aca="false">F62*G62</f>
        <v>124.95</v>
      </c>
      <c r="I62" s="19" t="s">
        <v>93</v>
      </c>
    </row>
    <row r="63" customFormat="false" ht="15" hidden="false" customHeight="false" outlineLevel="0" collapsed="false">
      <c r="A63" s="37" t="n">
        <v>46139</v>
      </c>
      <c r="B63" s="22" t="str">
        <f aca="false">TEXT(A63,"mmm")</f>
        <v>Apr</v>
      </c>
      <c r="C63" s="22" t="s">
        <v>51</v>
      </c>
      <c r="D63" s="22" t="str">
        <f aca="false">VLOOKUP(C63,Inventory!$A$5:$D$22,2,FALSE())</f>
        <v>Instant Ramen 6pk</v>
      </c>
      <c r="E63" s="22" t="str">
        <f aca="false">VLOOKUP(C63,Inventory!$A$5:$D$22,3,FALSE())</f>
        <v>Dining &amp; Snacks</v>
      </c>
      <c r="F63" s="22" t="n">
        <v>2</v>
      </c>
      <c r="G63" s="23" t="n">
        <f aca="false">VLOOKUP(C63,Inventory!$A$5:$D$22,4,FALSE())</f>
        <v>5.99</v>
      </c>
      <c r="H63" s="23" t="n">
        <f aca="false">F63*G63</f>
        <v>11.98</v>
      </c>
      <c r="I63" s="22" t="s">
        <v>92</v>
      </c>
    </row>
    <row r="64" customFormat="false" ht="15" hidden="false" customHeight="false" outlineLevel="0" collapsed="false">
      <c r="A64" s="38" t="n">
        <v>46139</v>
      </c>
      <c r="B64" s="19" t="str">
        <f aca="false">TEXT(A64,"mmm")</f>
        <v>Apr</v>
      </c>
      <c r="C64" s="19" t="s">
        <v>45</v>
      </c>
      <c r="D64" s="19" t="str">
        <f aca="false">VLOOKUP(C64,Inventory!$A$5:$D$22,2,FALSE())</f>
        <v>Wireless Mouse</v>
      </c>
      <c r="E64" s="19" t="str">
        <f aca="false">VLOOKUP(C64,Inventory!$A$5:$D$22,3,FALSE())</f>
        <v>Electronics &amp; Supplies</v>
      </c>
      <c r="F64" s="19" t="n">
        <v>6</v>
      </c>
      <c r="G64" s="20" t="n">
        <f aca="false">VLOOKUP(C64,Inventory!$A$5:$D$22,4,FALSE())</f>
        <v>18.49</v>
      </c>
      <c r="H64" s="20" t="n">
        <f aca="false">F64*G64</f>
        <v>110.94</v>
      </c>
      <c r="I64" s="19" t="s">
        <v>92</v>
      </c>
    </row>
    <row r="65" customFormat="false" ht="15" hidden="false" customHeight="false" outlineLevel="0" collapsed="false">
      <c r="A65" s="37" t="n">
        <v>46128</v>
      </c>
      <c r="B65" s="22" t="str">
        <f aca="false">TEXT(A65,"mmm")</f>
        <v>Apr</v>
      </c>
      <c r="C65" s="22" t="s">
        <v>54</v>
      </c>
      <c r="D65" s="22" t="str">
        <f aca="false">VLOOKUP(C65,Inventory!$A$5:$D$22,2,FALSE())</f>
        <v>Mini Fridge</v>
      </c>
      <c r="E65" s="22" t="str">
        <f aca="false">VLOOKUP(C65,Inventory!$A$5:$D$22,3,FALSE())</f>
        <v>Dorm Essentials</v>
      </c>
      <c r="F65" s="22" t="n">
        <v>9</v>
      </c>
      <c r="G65" s="23" t="n">
        <f aca="false">VLOOKUP(C65,Inventory!$A$5:$D$22,4,FALSE())</f>
        <v>119</v>
      </c>
      <c r="H65" s="23" t="n">
        <f aca="false">F65*G65</f>
        <v>1071</v>
      </c>
      <c r="I65" s="22" t="s">
        <v>94</v>
      </c>
    </row>
    <row r="66" customFormat="false" ht="15" hidden="false" customHeight="false" outlineLevel="0" collapsed="false">
      <c r="A66" s="38" t="n">
        <v>46125</v>
      </c>
      <c r="B66" s="19" t="str">
        <f aca="false">TEXT(A66,"mmm")</f>
        <v>Apr</v>
      </c>
      <c r="C66" s="19" t="s">
        <v>53</v>
      </c>
      <c r="D66" s="19" t="str">
        <f aca="false">VLOOKUP(C66,Inventory!$A$5:$D$22,2,FALSE())</f>
        <v>Desk Lamp</v>
      </c>
      <c r="E66" s="19" t="str">
        <f aca="false">VLOOKUP(C66,Inventory!$A$5:$D$22,3,FALSE())</f>
        <v>Dorm Essentials</v>
      </c>
      <c r="F66" s="19" t="n">
        <v>17</v>
      </c>
      <c r="G66" s="20" t="n">
        <f aca="false">VLOOKUP(C66,Inventory!$A$5:$D$22,4,FALSE())</f>
        <v>21.99</v>
      </c>
      <c r="H66" s="20" t="n">
        <f aca="false">F66*G66</f>
        <v>373.83</v>
      </c>
      <c r="I66" s="19" t="s">
        <v>93</v>
      </c>
    </row>
    <row r="67" customFormat="false" ht="15" hidden="false" customHeight="false" outlineLevel="0" collapsed="false">
      <c r="A67" s="37" t="n">
        <v>46135</v>
      </c>
      <c r="B67" s="22" t="str">
        <f aca="false">TEXT(A67,"mmm")</f>
        <v>Apr</v>
      </c>
      <c r="C67" s="22" t="s">
        <v>50</v>
      </c>
      <c r="D67" s="22" t="str">
        <f aca="false">VLOOKUP(C67,Inventory!$A$5:$D$22,2,FALSE())</f>
        <v>Trail Mix Bag</v>
      </c>
      <c r="E67" s="22" t="str">
        <f aca="false">VLOOKUP(C67,Inventory!$A$5:$D$22,3,FALSE())</f>
        <v>Dining &amp; Snacks</v>
      </c>
      <c r="F67" s="22" t="n">
        <v>20</v>
      </c>
      <c r="G67" s="23" t="n">
        <f aca="false">VLOOKUP(C67,Inventory!$A$5:$D$22,4,FALSE())</f>
        <v>4.49</v>
      </c>
      <c r="H67" s="23" t="n">
        <f aca="false">F67*G67</f>
        <v>89.8</v>
      </c>
      <c r="I67" s="22" t="s">
        <v>93</v>
      </c>
    </row>
    <row r="68" customFormat="false" ht="15" hidden="false" customHeight="false" outlineLevel="0" collapsed="false">
      <c r="A68" s="38" t="n">
        <v>46115</v>
      </c>
      <c r="B68" s="19" t="str">
        <f aca="false">TEXT(A68,"mmm")</f>
        <v>Apr</v>
      </c>
      <c r="C68" s="19" t="s">
        <v>50</v>
      </c>
      <c r="D68" s="19" t="str">
        <f aca="false">VLOOKUP(C68,Inventory!$A$5:$D$22,2,FALSE())</f>
        <v>Trail Mix Bag</v>
      </c>
      <c r="E68" s="19" t="str">
        <f aca="false">VLOOKUP(C68,Inventory!$A$5:$D$22,3,FALSE())</f>
        <v>Dining &amp; Snacks</v>
      </c>
      <c r="F68" s="19" t="n">
        <v>2</v>
      </c>
      <c r="G68" s="20" t="n">
        <f aca="false">VLOOKUP(C68,Inventory!$A$5:$D$22,4,FALSE())</f>
        <v>4.49</v>
      </c>
      <c r="H68" s="20" t="n">
        <f aca="false">F68*G68</f>
        <v>8.98</v>
      </c>
      <c r="I68" s="19" t="s">
        <v>95</v>
      </c>
    </row>
    <row r="69" customFormat="false" ht="15" hidden="false" customHeight="false" outlineLevel="0" collapsed="false">
      <c r="A69" s="37" t="n">
        <v>46134</v>
      </c>
      <c r="B69" s="22" t="str">
        <f aca="false">TEXT(A69,"mmm")</f>
        <v>Apr</v>
      </c>
      <c r="C69" s="22" t="s">
        <v>29</v>
      </c>
      <c r="D69" s="22" t="str">
        <f aca="false">VLOOKUP(C69,Inventory!$A$5:$D$22,2,FALSE())</f>
        <v>Calculus II Course Pack</v>
      </c>
      <c r="E69" s="22" t="str">
        <f aca="false">VLOOKUP(C69,Inventory!$A$5:$D$22,3,FALSE())</f>
        <v>Textbooks</v>
      </c>
      <c r="F69" s="22" t="n">
        <v>9</v>
      </c>
      <c r="G69" s="23" t="n">
        <f aca="false">VLOOKUP(C69,Inventory!$A$5:$D$22,4,FALSE())</f>
        <v>74.5</v>
      </c>
      <c r="H69" s="23" t="n">
        <f aca="false">F69*G69</f>
        <v>670.5</v>
      </c>
      <c r="I69" s="22" t="s">
        <v>95</v>
      </c>
    </row>
    <row r="70" customFormat="false" ht="15" hidden="false" customHeight="false" outlineLevel="0" collapsed="false">
      <c r="A70" s="38" t="n">
        <v>46133</v>
      </c>
      <c r="B70" s="19" t="str">
        <f aca="false">TEXT(A70,"mmm")</f>
        <v>Apr</v>
      </c>
      <c r="C70" s="19" t="s">
        <v>49</v>
      </c>
      <c r="D70" s="19" t="str">
        <f aca="false">VLOOKUP(C70,Inventory!$A$5:$D$22,2,FALSE())</f>
        <v>Energy Drink 4pk</v>
      </c>
      <c r="E70" s="19" t="str">
        <f aca="false">VLOOKUP(C70,Inventory!$A$5:$D$22,3,FALSE())</f>
        <v>Dining &amp; Snacks</v>
      </c>
      <c r="F70" s="19" t="n">
        <v>19</v>
      </c>
      <c r="G70" s="20" t="n">
        <f aca="false">VLOOKUP(C70,Inventory!$A$5:$D$22,4,FALSE())</f>
        <v>7.99</v>
      </c>
      <c r="H70" s="20" t="n">
        <f aca="false">F70*G70</f>
        <v>151.81</v>
      </c>
      <c r="I70" s="19" t="s">
        <v>92</v>
      </c>
    </row>
    <row r="71" customFormat="false" ht="15" hidden="false" customHeight="false" outlineLevel="0" collapsed="false">
      <c r="A71" s="37" t="n">
        <v>46125</v>
      </c>
      <c r="B71" s="22" t="str">
        <f aca="false">TEXT(A71,"mmm")</f>
        <v>Apr</v>
      </c>
      <c r="C71" s="22" t="s">
        <v>38</v>
      </c>
      <c r="D71" s="22" t="str">
        <f aca="false">VLOOKUP(C71,Inventory!$A$5:$D$22,2,FALSE())</f>
        <v>Campus Store T-Shirt</v>
      </c>
      <c r="E71" s="22" t="str">
        <f aca="false">VLOOKUP(C71,Inventory!$A$5:$D$22,3,FALSE())</f>
        <v>Apparel &amp; Spirit Wear</v>
      </c>
      <c r="F71" s="22" t="n">
        <v>15</v>
      </c>
      <c r="G71" s="23" t="n">
        <f aca="false">VLOOKUP(C71,Inventory!$A$5:$D$22,4,FALSE())</f>
        <v>19.99</v>
      </c>
      <c r="H71" s="23" t="n">
        <f aca="false">F71*G71</f>
        <v>299.85</v>
      </c>
      <c r="I71" s="22" t="s">
        <v>94</v>
      </c>
    </row>
    <row r="72" customFormat="false" ht="15" hidden="false" customHeight="false" outlineLevel="0" collapsed="false">
      <c r="A72" s="38" t="n">
        <v>46137</v>
      </c>
      <c r="B72" s="19" t="str">
        <f aca="false">TEXT(A72,"mmm")</f>
        <v>Apr</v>
      </c>
      <c r="C72" s="19" t="s">
        <v>25</v>
      </c>
      <c r="D72" s="19" t="str">
        <f aca="false">VLOOKUP(C72,Inventory!$A$5:$D$22,2,FALSE())</f>
        <v>Intro to Psychology (Textbook)</v>
      </c>
      <c r="E72" s="19" t="str">
        <f aca="false">VLOOKUP(C72,Inventory!$A$5:$D$22,3,FALSE())</f>
        <v>Textbooks</v>
      </c>
      <c r="F72" s="19" t="n">
        <v>9</v>
      </c>
      <c r="G72" s="20" t="n">
        <f aca="false">VLOOKUP(C72,Inventory!$A$5:$D$22,4,FALSE())</f>
        <v>89.99</v>
      </c>
      <c r="H72" s="20" t="n">
        <f aca="false">F72*G72</f>
        <v>809.91</v>
      </c>
      <c r="I72" s="19" t="s">
        <v>94</v>
      </c>
    </row>
    <row r="73" customFormat="false" ht="15" hidden="false" customHeight="false" outlineLevel="0" collapsed="false">
      <c r="A73" s="37" t="n">
        <v>46138</v>
      </c>
      <c r="B73" s="22" t="str">
        <f aca="false">TEXT(A73,"mmm")</f>
        <v>Apr</v>
      </c>
      <c r="C73" s="22" t="s">
        <v>38</v>
      </c>
      <c r="D73" s="22" t="str">
        <f aca="false">VLOOKUP(C73,Inventory!$A$5:$D$22,2,FALSE())</f>
        <v>Campus Store T-Shirt</v>
      </c>
      <c r="E73" s="22" t="str">
        <f aca="false">VLOOKUP(C73,Inventory!$A$5:$D$22,3,FALSE())</f>
        <v>Apparel &amp; Spirit Wear</v>
      </c>
      <c r="F73" s="22" t="n">
        <v>2</v>
      </c>
      <c r="G73" s="23" t="n">
        <f aca="false">VLOOKUP(C73,Inventory!$A$5:$D$22,4,FALSE())</f>
        <v>19.99</v>
      </c>
      <c r="H73" s="23" t="n">
        <f aca="false">F73*G73</f>
        <v>39.98</v>
      </c>
      <c r="I73" s="22" t="s">
        <v>92</v>
      </c>
    </row>
    <row r="74" customFormat="false" ht="15" hidden="false" customHeight="false" outlineLevel="0" collapsed="false">
      <c r="A74" s="38" t="n">
        <v>46116</v>
      </c>
      <c r="B74" s="19" t="str">
        <f aca="false">TEXT(A74,"mmm")</f>
        <v>Apr</v>
      </c>
      <c r="C74" s="19" t="s">
        <v>54</v>
      </c>
      <c r="D74" s="19" t="str">
        <f aca="false">VLOOKUP(C74,Inventory!$A$5:$D$22,2,FALSE())</f>
        <v>Mini Fridge</v>
      </c>
      <c r="E74" s="19" t="str">
        <f aca="false">VLOOKUP(C74,Inventory!$A$5:$D$22,3,FALSE())</f>
        <v>Dorm Essentials</v>
      </c>
      <c r="F74" s="19" t="n">
        <v>18</v>
      </c>
      <c r="G74" s="20" t="n">
        <f aca="false">VLOOKUP(C74,Inventory!$A$5:$D$22,4,FALSE())</f>
        <v>119</v>
      </c>
      <c r="H74" s="20" t="n">
        <f aca="false">F74*G74</f>
        <v>2142</v>
      </c>
      <c r="I74" s="19" t="s">
        <v>95</v>
      </c>
    </row>
    <row r="75" customFormat="false" ht="15" hidden="false" customHeight="false" outlineLevel="0" collapsed="false">
      <c r="A75" s="37" t="n">
        <v>46134</v>
      </c>
      <c r="B75" s="22" t="str">
        <f aca="false">TEXT(A75,"mmm")</f>
        <v>Apr</v>
      </c>
      <c r="C75" s="22" t="s">
        <v>32</v>
      </c>
      <c r="D75" s="22" t="str">
        <f aca="false">VLOOKUP(C75,Inventory!$A$5:$D$22,2,FALSE())</f>
        <v>Organic Chemistry Manual</v>
      </c>
      <c r="E75" s="22" t="str">
        <f aca="false">VLOOKUP(C75,Inventory!$A$5:$D$22,3,FALSE())</f>
        <v>Textbooks</v>
      </c>
      <c r="F75" s="22" t="n">
        <v>7</v>
      </c>
      <c r="G75" s="23" t="n">
        <f aca="false">VLOOKUP(C75,Inventory!$A$5:$D$22,4,FALSE())</f>
        <v>96</v>
      </c>
      <c r="H75" s="23" t="n">
        <f aca="false">F75*G75</f>
        <v>672</v>
      </c>
      <c r="I75" s="22" t="s">
        <v>94</v>
      </c>
    </row>
    <row r="76" customFormat="false" ht="15" hidden="false" customHeight="false" outlineLevel="0" collapsed="false">
      <c r="A76" s="38" t="n">
        <v>46121</v>
      </c>
      <c r="B76" s="19" t="str">
        <f aca="false">TEXT(A76,"mmm")</f>
        <v>Apr</v>
      </c>
      <c r="C76" s="19" t="s">
        <v>55</v>
      </c>
      <c r="D76" s="19" t="str">
        <f aca="false">VLOOKUP(C76,Inventory!$A$5:$D$22,2,FALSE())</f>
        <v>Spiral Notebook 5pk</v>
      </c>
      <c r="E76" s="19" t="str">
        <f aca="false">VLOOKUP(C76,Inventory!$A$5:$D$22,3,FALSE())</f>
        <v>School Supplies</v>
      </c>
      <c r="F76" s="19" t="n">
        <v>6</v>
      </c>
      <c r="G76" s="20" t="n">
        <f aca="false">VLOOKUP(C76,Inventory!$A$5:$D$22,4,FALSE())</f>
        <v>9.99</v>
      </c>
      <c r="H76" s="20" t="n">
        <f aca="false">F76*G76</f>
        <v>59.94</v>
      </c>
      <c r="I76" s="19" t="s">
        <v>92</v>
      </c>
    </row>
    <row r="77" customFormat="false" ht="15" hidden="false" customHeight="false" outlineLevel="0" collapsed="false">
      <c r="A77" s="37" t="n">
        <v>46130</v>
      </c>
      <c r="B77" s="22" t="str">
        <f aca="false">TEXT(A77,"mmm")</f>
        <v>Apr</v>
      </c>
      <c r="C77" s="22" t="s">
        <v>55</v>
      </c>
      <c r="D77" s="22" t="str">
        <f aca="false">VLOOKUP(C77,Inventory!$A$5:$D$22,2,FALSE())</f>
        <v>Spiral Notebook 5pk</v>
      </c>
      <c r="E77" s="22" t="str">
        <f aca="false">VLOOKUP(C77,Inventory!$A$5:$D$22,3,FALSE())</f>
        <v>School Supplies</v>
      </c>
      <c r="F77" s="22" t="n">
        <v>2</v>
      </c>
      <c r="G77" s="23" t="n">
        <f aca="false">VLOOKUP(C77,Inventory!$A$5:$D$22,4,FALSE())</f>
        <v>9.99</v>
      </c>
      <c r="H77" s="23" t="n">
        <f aca="false">F77*G77</f>
        <v>19.98</v>
      </c>
      <c r="I77" s="22" t="s">
        <v>94</v>
      </c>
    </row>
    <row r="78" customFormat="false" ht="15" hidden="false" customHeight="false" outlineLevel="0" collapsed="false">
      <c r="A78" s="38" t="n">
        <v>46121</v>
      </c>
      <c r="B78" s="19" t="str">
        <f aca="false">TEXT(A78,"mmm")</f>
        <v>Apr</v>
      </c>
      <c r="C78" s="19" t="s">
        <v>43</v>
      </c>
      <c r="D78" s="19" t="str">
        <f aca="false">VLOOKUP(C78,Inventory!$A$5:$D$22,2,FALSE())</f>
        <v>USB-C Charging Cable</v>
      </c>
      <c r="E78" s="19" t="str">
        <f aca="false">VLOOKUP(C78,Inventory!$A$5:$D$22,3,FALSE())</f>
        <v>Electronics &amp; Supplies</v>
      </c>
      <c r="F78" s="19" t="n">
        <v>12</v>
      </c>
      <c r="G78" s="20" t="n">
        <f aca="false">VLOOKUP(C78,Inventory!$A$5:$D$22,4,FALSE())</f>
        <v>14.99</v>
      </c>
      <c r="H78" s="20" t="n">
        <f aca="false">F78*G78</f>
        <v>179.88</v>
      </c>
      <c r="I78" s="19" t="s">
        <v>94</v>
      </c>
    </row>
    <row r="79" customFormat="false" ht="15" hidden="false" customHeight="false" outlineLevel="0" collapsed="false">
      <c r="A79" s="37" t="n">
        <v>46145</v>
      </c>
      <c r="B79" s="22" t="str">
        <f aca="false">TEXT(A79,"mmm")</f>
        <v>May</v>
      </c>
      <c r="C79" s="22" t="s">
        <v>43</v>
      </c>
      <c r="D79" s="22" t="str">
        <f aca="false">VLOOKUP(C79,Inventory!$A$5:$D$22,2,FALSE())</f>
        <v>USB-C Charging Cable</v>
      </c>
      <c r="E79" s="22" t="str">
        <f aca="false">VLOOKUP(C79,Inventory!$A$5:$D$22,3,FALSE())</f>
        <v>Electronics &amp; Supplies</v>
      </c>
      <c r="F79" s="22" t="n">
        <v>14</v>
      </c>
      <c r="G79" s="23" t="n">
        <f aca="false">VLOOKUP(C79,Inventory!$A$5:$D$22,4,FALSE())</f>
        <v>14.99</v>
      </c>
      <c r="H79" s="23" t="n">
        <f aca="false">F79*G79</f>
        <v>209.86</v>
      </c>
      <c r="I79" s="22" t="s">
        <v>93</v>
      </c>
    </row>
    <row r="80" customFormat="false" ht="15" hidden="false" customHeight="false" outlineLevel="0" collapsed="false">
      <c r="A80" s="38" t="n">
        <v>46157</v>
      </c>
      <c r="B80" s="19" t="str">
        <f aca="false">TEXT(A80,"mmm")</f>
        <v>May</v>
      </c>
      <c r="C80" s="19" t="s">
        <v>38</v>
      </c>
      <c r="D80" s="19" t="str">
        <f aca="false">VLOOKUP(C80,Inventory!$A$5:$D$22,2,FALSE())</f>
        <v>Campus Store T-Shirt</v>
      </c>
      <c r="E80" s="19" t="str">
        <f aca="false">VLOOKUP(C80,Inventory!$A$5:$D$22,3,FALSE())</f>
        <v>Apparel &amp; Spirit Wear</v>
      </c>
      <c r="F80" s="19" t="n">
        <v>15</v>
      </c>
      <c r="G80" s="20" t="n">
        <f aca="false">VLOOKUP(C80,Inventory!$A$5:$D$22,4,FALSE())</f>
        <v>19.99</v>
      </c>
      <c r="H80" s="20" t="n">
        <f aca="false">F80*G80</f>
        <v>299.85</v>
      </c>
      <c r="I80" s="19" t="s">
        <v>94</v>
      </c>
    </row>
    <row r="81" customFormat="false" ht="15" hidden="false" customHeight="false" outlineLevel="0" collapsed="false">
      <c r="A81" s="37" t="n">
        <v>46155</v>
      </c>
      <c r="B81" s="22" t="str">
        <f aca="false">TEXT(A81,"mmm")</f>
        <v>May</v>
      </c>
      <c r="C81" s="22" t="s">
        <v>25</v>
      </c>
      <c r="D81" s="22" t="str">
        <f aca="false">VLOOKUP(C81,Inventory!$A$5:$D$22,2,FALSE())</f>
        <v>Intro to Psychology (Textbook)</v>
      </c>
      <c r="E81" s="22" t="str">
        <f aca="false">VLOOKUP(C81,Inventory!$A$5:$D$22,3,FALSE())</f>
        <v>Textbooks</v>
      </c>
      <c r="F81" s="22" t="n">
        <v>18</v>
      </c>
      <c r="G81" s="23" t="n">
        <f aca="false">VLOOKUP(C81,Inventory!$A$5:$D$22,4,FALSE())</f>
        <v>89.99</v>
      </c>
      <c r="H81" s="23" t="n">
        <f aca="false">F81*G81</f>
        <v>1619.82</v>
      </c>
      <c r="I81" s="22" t="s">
        <v>95</v>
      </c>
    </row>
    <row r="82" customFormat="false" ht="15" hidden="false" customHeight="false" outlineLevel="0" collapsed="false">
      <c r="A82" s="38" t="n">
        <v>46153</v>
      </c>
      <c r="B82" s="19" t="str">
        <f aca="false">TEXT(A82,"mmm")</f>
        <v>May</v>
      </c>
      <c r="C82" s="19" t="s">
        <v>54</v>
      </c>
      <c r="D82" s="19" t="str">
        <f aca="false">VLOOKUP(C82,Inventory!$A$5:$D$22,2,FALSE())</f>
        <v>Mini Fridge</v>
      </c>
      <c r="E82" s="19" t="str">
        <f aca="false">VLOOKUP(C82,Inventory!$A$5:$D$22,3,FALSE())</f>
        <v>Dorm Essentials</v>
      </c>
      <c r="F82" s="19" t="n">
        <v>7</v>
      </c>
      <c r="G82" s="20" t="n">
        <f aca="false">VLOOKUP(C82,Inventory!$A$5:$D$22,4,FALSE())</f>
        <v>119</v>
      </c>
      <c r="H82" s="20" t="n">
        <f aca="false">F82*G82</f>
        <v>833</v>
      </c>
      <c r="I82" s="19" t="s">
        <v>92</v>
      </c>
    </row>
    <row r="83" customFormat="false" ht="15" hidden="false" customHeight="false" outlineLevel="0" collapsed="false">
      <c r="A83" s="37" t="n">
        <v>46149</v>
      </c>
      <c r="B83" s="22" t="str">
        <f aca="false">TEXT(A83,"mmm")</f>
        <v>May</v>
      </c>
      <c r="C83" s="22" t="s">
        <v>35</v>
      </c>
      <c r="D83" s="22" t="str">
        <f aca="false">VLOOKUP(C83,Inventory!$A$5:$D$22,2,FALSE())</f>
        <v>Crestwood Hoodie</v>
      </c>
      <c r="E83" s="22" t="str">
        <f aca="false">VLOOKUP(C83,Inventory!$A$5:$D$22,3,FALSE())</f>
        <v>Apparel &amp; Spirit Wear</v>
      </c>
      <c r="F83" s="22" t="n">
        <v>8</v>
      </c>
      <c r="G83" s="23" t="n">
        <f aca="false">VLOOKUP(C83,Inventory!$A$5:$D$22,4,FALSE())</f>
        <v>44.99</v>
      </c>
      <c r="H83" s="23" t="n">
        <f aca="false">F83*G83</f>
        <v>359.92</v>
      </c>
      <c r="I83" s="22" t="s">
        <v>93</v>
      </c>
    </row>
    <row r="84" customFormat="false" ht="15" hidden="false" customHeight="false" outlineLevel="0" collapsed="false">
      <c r="A84" s="38" t="n">
        <v>46152</v>
      </c>
      <c r="B84" s="19" t="str">
        <f aca="false">TEXT(A84,"mmm")</f>
        <v>May</v>
      </c>
      <c r="C84" s="19" t="s">
        <v>32</v>
      </c>
      <c r="D84" s="19" t="str">
        <f aca="false">VLOOKUP(C84,Inventory!$A$5:$D$22,2,FALSE())</f>
        <v>Organic Chemistry Manual</v>
      </c>
      <c r="E84" s="19" t="str">
        <f aca="false">VLOOKUP(C84,Inventory!$A$5:$D$22,3,FALSE())</f>
        <v>Textbooks</v>
      </c>
      <c r="F84" s="19" t="n">
        <v>18</v>
      </c>
      <c r="G84" s="20" t="n">
        <f aca="false">VLOOKUP(C84,Inventory!$A$5:$D$22,4,FALSE())</f>
        <v>96</v>
      </c>
      <c r="H84" s="20" t="n">
        <f aca="false">F84*G84</f>
        <v>1728</v>
      </c>
      <c r="I84" s="19" t="s">
        <v>95</v>
      </c>
    </row>
    <row r="85" customFormat="false" ht="15" hidden="false" customHeight="false" outlineLevel="0" collapsed="false">
      <c r="A85" s="37" t="n">
        <v>46165</v>
      </c>
      <c r="B85" s="22" t="str">
        <f aca="false">TEXT(A85,"mmm")</f>
        <v>May</v>
      </c>
      <c r="C85" s="22" t="s">
        <v>45</v>
      </c>
      <c r="D85" s="22" t="str">
        <f aca="false">VLOOKUP(C85,Inventory!$A$5:$D$22,2,FALSE())</f>
        <v>Wireless Mouse</v>
      </c>
      <c r="E85" s="22" t="str">
        <f aca="false">VLOOKUP(C85,Inventory!$A$5:$D$22,3,FALSE())</f>
        <v>Electronics &amp; Supplies</v>
      </c>
      <c r="F85" s="22" t="n">
        <v>1</v>
      </c>
      <c r="G85" s="23" t="n">
        <f aca="false">VLOOKUP(C85,Inventory!$A$5:$D$22,4,FALSE())</f>
        <v>18.49</v>
      </c>
      <c r="H85" s="23" t="n">
        <f aca="false">F85*G85</f>
        <v>18.49</v>
      </c>
      <c r="I85" s="22" t="s">
        <v>95</v>
      </c>
    </row>
    <row r="86" customFormat="false" ht="15" hidden="false" customHeight="false" outlineLevel="0" collapsed="false">
      <c r="A86" s="38" t="n">
        <v>46145</v>
      </c>
      <c r="B86" s="19" t="str">
        <f aca="false">TEXT(A86,"mmm")</f>
        <v>May</v>
      </c>
      <c r="C86" s="19" t="s">
        <v>57</v>
      </c>
      <c r="D86" s="19" t="str">
        <f aca="false">VLOOKUP(C86,Inventory!$A$5:$D$22,2,FALSE())</f>
        <v>Mechanical Pencil Set</v>
      </c>
      <c r="E86" s="19" t="str">
        <f aca="false">VLOOKUP(C86,Inventory!$A$5:$D$22,3,FALSE())</f>
        <v>School Supplies</v>
      </c>
      <c r="F86" s="19" t="n">
        <v>2</v>
      </c>
      <c r="G86" s="20" t="n">
        <f aca="false">VLOOKUP(C86,Inventory!$A$5:$D$22,4,FALSE())</f>
        <v>6.49</v>
      </c>
      <c r="H86" s="20" t="n">
        <f aca="false">F86*G86</f>
        <v>12.98</v>
      </c>
      <c r="I86" s="19" t="s">
        <v>93</v>
      </c>
    </row>
    <row r="87" customFormat="false" ht="15" hidden="false" customHeight="false" outlineLevel="0" collapsed="false">
      <c r="A87" s="37" t="n">
        <v>46160</v>
      </c>
      <c r="B87" s="22" t="str">
        <f aca="false">TEXT(A87,"mmm")</f>
        <v>May</v>
      </c>
      <c r="C87" s="22" t="s">
        <v>50</v>
      </c>
      <c r="D87" s="22" t="str">
        <f aca="false">VLOOKUP(C87,Inventory!$A$5:$D$22,2,FALSE())</f>
        <v>Trail Mix Bag</v>
      </c>
      <c r="E87" s="22" t="str">
        <f aca="false">VLOOKUP(C87,Inventory!$A$5:$D$22,3,FALSE())</f>
        <v>Dining &amp; Snacks</v>
      </c>
      <c r="F87" s="22" t="n">
        <v>14</v>
      </c>
      <c r="G87" s="23" t="n">
        <f aca="false">VLOOKUP(C87,Inventory!$A$5:$D$22,4,FALSE())</f>
        <v>4.49</v>
      </c>
      <c r="H87" s="23" t="n">
        <f aca="false">F87*G87</f>
        <v>62.86</v>
      </c>
      <c r="I87" s="22" t="s">
        <v>95</v>
      </c>
    </row>
    <row r="88" customFormat="false" ht="15" hidden="false" customHeight="false" outlineLevel="0" collapsed="false">
      <c r="A88" s="38" t="n">
        <v>46143</v>
      </c>
      <c r="B88" s="19" t="str">
        <f aca="false">TEXT(A88,"mmm")</f>
        <v>May</v>
      </c>
      <c r="C88" s="19" t="s">
        <v>55</v>
      </c>
      <c r="D88" s="19" t="str">
        <f aca="false">VLOOKUP(C88,Inventory!$A$5:$D$22,2,FALSE())</f>
        <v>Spiral Notebook 5pk</v>
      </c>
      <c r="E88" s="19" t="str">
        <f aca="false">VLOOKUP(C88,Inventory!$A$5:$D$22,3,FALSE())</f>
        <v>School Supplies</v>
      </c>
      <c r="F88" s="19" t="n">
        <v>7</v>
      </c>
      <c r="G88" s="20" t="n">
        <f aca="false">VLOOKUP(C88,Inventory!$A$5:$D$22,4,FALSE())</f>
        <v>9.99</v>
      </c>
      <c r="H88" s="20" t="n">
        <f aca="false">F88*G88</f>
        <v>69.93</v>
      </c>
      <c r="I88" s="19" t="s">
        <v>92</v>
      </c>
    </row>
    <row r="89" customFormat="false" ht="15" hidden="false" customHeight="false" outlineLevel="0" collapsed="false">
      <c r="A89" s="37" t="n">
        <v>46168</v>
      </c>
      <c r="B89" s="22" t="str">
        <f aca="false">TEXT(A89,"mmm")</f>
        <v>May</v>
      </c>
      <c r="C89" s="22" t="s">
        <v>53</v>
      </c>
      <c r="D89" s="22" t="str">
        <f aca="false">VLOOKUP(C89,Inventory!$A$5:$D$22,2,FALSE())</f>
        <v>Desk Lamp</v>
      </c>
      <c r="E89" s="22" t="str">
        <f aca="false">VLOOKUP(C89,Inventory!$A$5:$D$22,3,FALSE())</f>
        <v>Dorm Essentials</v>
      </c>
      <c r="F89" s="22" t="n">
        <v>2</v>
      </c>
      <c r="G89" s="23" t="n">
        <f aca="false">VLOOKUP(C89,Inventory!$A$5:$D$22,4,FALSE())</f>
        <v>21.99</v>
      </c>
      <c r="H89" s="23" t="n">
        <f aca="false">F89*G89</f>
        <v>43.98</v>
      </c>
      <c r="I89" s="22" t="s">
        <v>94</v>
      </c>
    </row>
    <row r="90" customFormat="false" ht="15" hidden="false" customHeight="false" outlineLevel="0" collapsed="false">
      <c r="A90" s="38" t="n">
        <v>46153</v>
      </c>
      <c r="B90" s="19" t="str">
        <f aca="false">TEXT(A90,"mmm")</f>
        <v>May</v>
      </c>
      <c r="C90" s="19" t="s">
        <v>58</v>
      </c>
      <c r="D90" s="19" t="str">
        <f aca="false">VLOOKUP(C90,Inventory!$A$5:$D$22,2,FALSE())</f>
        <v>Highlighter Pack</v>
      </c>
      <c r="E90" s="19" t="str">
        <f aca="false">VLOOKUP(C90,Inventory!$A$5:$D$22,3,FALSE())</f>
        <v>School Supplies</v>
      </c>
      <c r="F90" s="19" t="n">
        <v>5</v>
      </c>
      <c r="G90" s="20" t="n">
        <f aca="false">VLOOKUP(C90,Inventory!$A$5:$D$22,4,FALSE())</f>
        <v>5.49</v>
      </c>
      <c r="H90" s="20" t="n">
        <f aca="false">F90*G90</f>
        <v>27.45</v>
      </c>
      <c r="I90" s="19" t="s">
        <v>93</v>
      </c>
    </row>
    <row r="91" customFormat="false" ht="15" hidden="false" customHeight="false" outlineLevel="0" collapsed="false">
      <c r="A91" s="37" t="n">
        <v>46159</v>
      </c>
      <c r="B91" s="22" t="str">
        <f aca="false">TEXT(A91,"mmm")</f>
        <v>May</v>
      </c>
      <c r="C91" s="22" t="s">
        <v>38</v>
      </c>
      <c r="D91" s="22" t="str">
        <f aca="false">VLOOKUP(C91,Inventory!$A$5:$D$22,2,FALSE())</f>
        <v>Campus Store T-Shirt</v>
      </c>
      <c r="E91" s="22" t="str">
        <f aca="false">VLOOKUP(C91,Inventory!$A$5:$D$22,3,FALSE())</f>
        <v>Apparel &amp; Spirit Wear</v>
      </c>
      <c r="F91" s="22" t="n">
        <v>17</v>
      </c>
      <c r="G91" s="23" t="n">
        <f aca="false">VLOOKUP(C91,Inventory!$A$5:$D$22,4,FALSE())</f>
        <v>19.99</v>
      </c>
      <c r="H91" s="23" t="n">
        <f aca="false">F91*G91</f>
        <v>339.83</v>
      </c>
      <c r="I91" s="22" t="s">
        <v>93</v>
      </c>
    </row>
    <row r="92" customFormat="false" ht="15" hidden="false" customHeight="false" outlineLevel="0" collapsed="false">
      <c r="A92" s="38" t="n">
        <v>46161</v>
      </c>
      <c r="B92" s="19" t="str">
        <f aca="false">TEXT(A92,"mmm")</f>
        <v>May</v>
      </c>
      <c r="C92" s="19" t="s">
        <v>55</v>
      </c>
      <c r="D92" s="19" t="str">
        <f aca="false">VLOOKUP(C92,Inventory!$A$5:$D$22,2,FALSE())</f>
        <v>Spiral Notebook 5pk</v>
      </c>
      <c r="E92" s="19" t="str">
        <f aca="false">VLOOKUP(C92,Inventory!$A$5:$D$22,3,FALSE())</f>
        <v>School Supplies</v>
      </c>
      <c r="F92" s="19" t="n">
        <v>3</v>
      </c>
      <c r="G92" s="20" t="n">
        <f aca="false">VLOOKUP(C92,Inventory!$A$5:$D$22,4,FALSE())</f>
        <v>9.99</v>
      </c>
      <c r="H92" s="20" t="n">
        <f aca="false">F92*G92</f>
        <v>29.97</v>
      </c>
      <c r="I92" s="19" t="s">
        <v>94</v>
      </c>
    </row>
    <row r="93" customFormat="false" ht="15" hidden="false" customHeight="false" outlineLevel="0" collapsed="false">
      <c r="A93" s="37" t="n">
        <v>46159</v>
      </c>
      <c r="B93" s="22" t="str">
        <f aca="false">TEXT(A93,"mmm")</f>
        <v>May</v>
      </c>
      <c r="C93" s="22" t="s">
        <v>54</v>
      </c>
      <c r="D93" s="22" t="str">
        <f aca="false">VLOOKUP(C93,Inventory!$A$5:$D$22,2,FALSE())</f>
        <v>Mini Fridge</v>
      </c>
      <c r="E93" s="22" t="str">
        <f aca="false">VLOOKUP(C93,Inventory!$A$5:$D$22,3,FALSE())</f>
        <v>Dorm Essentials</v>
      </c>
      <c r="F93" s="22" t="n">
        <v>18</v>
      </c>
      <c r="G93" s="23" t="n">
        <f aca="false">VLOOKUP(C93,Inventory!$A$5:$D$22,4,FALSE())</f>
        <v>119</v>
      </c>
      <c r="H93" s="23" t="n">
        <f aca="false">F93*G93</f>
        <v>2142</v>
      </c>
      <c r="I93" s="22" t="s">
        <v>95</v>
      </c>
    </row>
    <row r="94" customFormat="false" ht="15" hidden="false" customHeight="false" outlineLevel="0" collapsed="false">
      <c r="A94" s="38" t="n">
        <v>46163</v>
      </c>
      <c r="B94" s="19" t="str">
        <f aca="false">TEXT(A94,"mmm")</f>
        <v>May</v>
      </c>
      <c r="C94" s="19" t="s">
        <v>58</v>
      </c>
      <c r="D94" s="19" t="str">
        <f aca="false">VLOOKUP(C94,Inventory!$A$5:$D$22,2,FALSE())</f>
        <v>Highlighter Pack</v>
      </c>
      <c r="E94" s="19" t="str">
        <f aca="false">VLOOKUP(C94,Inventory!$A$5:$D$22,3,FALSE())</f>
        <v>School Supplies</v>
      </c>
      <c r="F94" s="19" t="n">
        <v>6</v>
      </c>
      <c r="G94" s="20" t="n">
        <f aca="false">VLOOKUP(C94,Inventory!$A$5:$D$22,4,FALSE())</f>
        <v>5.49</v>
      </c>
      <c r="H94" s="20" t="n">
        <f aca="false">F94*G94</f>
        <v>32.94</v>
      </c>
      <c r="I94" s="19" t="s">
        <v>95</v>
      </c>
    </row>
    <row r="95" customFormat="false" ht="15" hidden="false" customHeight="false" outlineLevel="0" collapsed="false">
      <c r="A95" s="37" t="n">
        <v>46164</v>
      </c>
      <c r="B95" s="22" t="str">
        <f aca="false">TEXT(A95,"mmm")</f>
        <v>May</v>
      </c>
      <c r="C95" s="22" t="s">
        <v>49</v>
      </c>
      <c r="D95" s="22" t="str">
        <f aca="false">VLOOKUP(C95,Inventory!$A$5:$D$22,2,FALSE())</f>
        <v>Energy Drink 4pk</v>
      </c>
      <c r="E95" s="22" t="str">
        <f aca="false">VLOOKUP(C95,Inventory!$A$5:$D$22,3,FALSE())</f>
        <v>Dining &amp; Snacks</v>
      </c>
      <c r="F95" s="22" t="n">
        <v>13</v>
      </c>
      <c r="G95" s="23" t="n">
        <f aca="false">VLOOKUP(C95,Inventory!$A$5:$D$22,4,FALSE())</f>
        <v>7.99</v>
      </c>
      <c r="H95" s="23" t="n">
        <f aca="false">F95*G95</f>
        <v>103.87</v>
      </c>
      <c r="I95" s="22" t="s">
        <v>94</v>
      </c>
    </row>
    <row r="96" customFormat="false" ht="15" hidden="false" customHeight="false" outlineLevel="0" collapsed="false">
      <c r="A96" s="38" t="n">
        <v>46191</v>
      </c>
      <c r="B96" s="19" t="str">
        <f aca="false">TEXT(A96,"mmm")</f>
        <v>Jun</v>
      </c>
      <c r="C96" s="19" t="s">
        <v>38</v>
      </c>
      <c r="D96" s="19" t="str">
        <f aca="false">VLOOKUP(C96,Inventory!$A$5:$D$22,2,FALSE())</f>
        <v>Campus Store T-Shirt</v>
      </c>
      <c r="E96" s="19" t="str">
        <f aca="false">VLOOKUP(C96,Inventory!$A$5:$D$22,3,FALSE())</f>
        <v>Apparel &amp; Spirit Wear</v>
      </c>
      <c r="F96" s="19" t="n">
        <v>17</v>
      </c>
      <c r="G96" s="20" t="n">
        <f aca="false">VLOOKUP(C96,Inventory!$A$5:$D$22,4,FALSE())</f>
        <v>19.99</v>
      </c>
      <c r="H96" s="20" t="n">
        <f aca="false">F96*G96</f>
        <v>339.83</v>
      </c>
      <c r="I96" s="19" t="s">
        <v>95</v>
      </c>
    </row>
    <row r="97" customFormat="false" ht="15" hidden="false" customHeight="false" outlineLevel="0" collapsed="false">
      <c r="A97" s="37" t="n">
        <v>46180</v>
      </c>
      <c r="B97" s="22" t="str">
        <f aca="false">TEXT(A97,"mmm")</f>
        <v>Jun</v>
      </c>
      <c r="C97" s="22" t="s">
        <v>55</v>
      </c>
      <c r="D97" s="22" t="str">
        <f aca="false">VLOOKUP(C97,Inventory!$A$5:$D$22,2,FALSE())</f>
        <v>Spiral Notebook 5pk</v>
      </c>
      <c r="E97" s="22" t="str">
        <f aca="false">VLOOKUP(C97,Inventory!$A$5:$D$22,3,FALSE())</f>
        <v>School Supplies</v>
      </c>
      <c r="F97" s="22" t="n">
        <v>14</v>
      </c>
      <c r="G97" s="23" t="n">
        <f aca="false">VLOOKUP(C97,Inventory!$A$5:$D$22,4,FALSE())</f>
        <v>9.99</v>
      </c>
      <c r="H97" s="23" t="n">
        <f aca="false">F97*G97</f>
        <v>139.86</v>
      </c>
      <c r="I97" s="22" t="s">
        <v>92</v>
      </c>
    </row>
    <row r="98" customFormat="false" ht="15" hidden="false" customHeight="false" outlineLevel="0" collapsed="false">
      <c r="A98" s="38" t="n">
        <v>46174</v>
      </c>
      <c r="B98" s="19" t="str">
        <f aca="false">TEXT(A98,"mmm")</f>
        <v>Jun</v>
      </c>
      <c r="C98" s="19" t="s">
        <v>57</v>
      </c>
      <c r="D98" s="19" t="str">
        <f aca="false">VLOOKUP(C98,Inventory!$A$5:$D$22,2,FALSE())</f>
        <v>Mechanical Pencil Set</v>
      </c>
      <c r="E98" s="19" t="str">
        <f aca="false">VLOOKUP(C98,Inventory!$A$5:$D$22,3,FALSE())</f>
        <v>School Supplies</v>
      </c>
      <c r="F98" s="19" t="n">
        <v>20</v>
      </c>
      <c r="G98" s="20" t="n">
        <f aca="false">VLOOKUP(C98,Inventory!$A$5:$D$22,4,FALSE())</f>
        <v>6.49</v>
      </c>
      <c r="H98" s="20" t="n">
        <f aca="false">F98*G98</f>
        <v>129.8</v>
      </c>
      <c r="I98" s="19" t="s">
        <v>93</v>
      </c>
    </row>
    <row r="99" customFormat="false" ht="15" hidden="false" customHeight="false" outlineLevel="0" collapsed="false">
      <c r="A99" s="37" t="n">
        <v>46191</v>
      </c>
      <c r="B99" s="22" t="str">
        <f aca="false">TEXT(A99,"mmm")</f>
        <v>Jun</v>
      </c>
      <c r="C99" s="22" t="s">
        <v>25</v>
      </c>
      <c r="D99" s="22" t="str">
        <f aca="false">VLOOKUP(C99,Inventory!$A$5:$D$22,2,FALSE())</f>
        <v>Intro to Psychology (Textbook)</v>
      </c>
      <c r="E99" s="22" t="str">
        <f aca="false">VLOOKUP(C99,Inventory!$A$5:$D$22,3,FALSE())</f>
        <v>Textbooks</v>
      </c>
      <c r="F99" s="22" t="n">
        <v>2</v>
      </c>
      <c r="G99" s="23" t="n">
        <f aca="false">VLOOKUP(C99,Inventory!$A$5:$D$22,4,FALSE())</f>
        <v>89.99</v>
      </c>
      <c r="H99" s="23" t="n">
        <f aca="false">F99*G99</f>
        <v>179.98</v>
      </c>
      <c r="I99" s="22" t="s">
        <v>93</v>
      </c>
    </row>
    <row r="100" customFormat="false" ht="15" hidden="false" customHeight="false" outlineLevel="0" collapsed="false">
      <c r="A100" s="38" t="n">
        <v>46199</v>
      </c>
      <c r="B100" s="19" t="str">
        <f aca="false">TEXT(A100,"mmm")</f>
        <v>Jun</v>
      </c>
      <c r="C100" s="19" t="s">
        <v>58</v>
      </c>
      <c r="D100" s="19" t="str">
        <f aca="false">VLOOKUP(C100,Inventory!$A$5:$D$22,2,FALSE())</f>
        <v>Highlighter Pack</v>
      </c>
      <c r="E100" s="19" t="str">
        <f aca="false">VLOOKUP(C100,Inventory!$A$5:$D$22,3,FALSE())</f>
        <v>School Supplies</v>
      </c>
      <c r="F100" s="19" t="n">
        <v>19</v>
      </c>
      <c r="G100" s="20" t="n">
        <f aca="false">VLOOKUP(C100,Inventory!$A$5:$D$22,4,FALSE())</f>
        <v>5.49</v>
      </c>
      <c r="H100" s="20" t="n">
        <f aca="false">F100*G100</f>
        <v>104.31</v>
      </c>
      <c r="I100" s="19" t="s">
        <v>92</v>
      </c>
    </row>
    <row r="101" customFormat="false" ht="15" hidden="false" customHeight="false" outlineLevel="0" collapsed="false">
      <c r="A101" s="37" t="n">
        <v>46176</v>
      </c>
      <c r="B101" s="22" t="str">
        <f aca="false">TEXT(A101,"mmm")</f>
        <v>Jun</v>
      </c>
      <c r="C101" s="22" t="s">
        <v>55</v>
      </c>
      <c r="D101" s="22" t="str">
        <f aca="false">VLOOKUP(C101,Inventory!$A$5:$D$22,2,FALSE())</f>
        <v>Spiral Notebook 5pk</v>
      </c>
      <c r="E101" s="22" t="str">
        <f aca="false">VLOOKUP(C101,Inventory!$A$5:$D$22,3,FALSE())</f>
        <v>School Supplies</v>
      </c>
      <c r="F101" s="22" t="n">
        <v>6</v>
      </c>
      <c r="G101" s="23" t="n">
        <f aca="false">VLOOKUP(C101,Inventory!$A$5:$D$22,4,FALSE())</f>
        <v>9.99</v>
      </c>
      <c r="H101" s="23" t="n">
        <f aca="false">F101*G101</f>
        <v>59.94</v>
      </c>
      <c r="I101" s="22" t="s">
        <v>92</v>
      </c>
    </row>
    <row r="102" customFormat="false" ht="15" hidden="false" customHeight="false" outlineLevel="0" collapsed="false">
      <c r="A102" s="38" t="n">
        <v>46188</v>
      </c>
      <c r="B102" s="19" t="str">
        <f aca="false">TEXT(A102,"mmm")</f>
        <v>Jun</v>
      </c>
      <c r="C102" s="19" t="s">
        <v>58</v>
      </c>
      <c r="D102" s="19" t="str">
        <f aca="false">VLOOKUP(C102,Inventory!$A$5:$D$22,2,FALSE())</f>
        <v>Highlighter Pack</v>
      </c>
      <c r="E102" s="19" t="str">
        <f aca="false">VLOOKUP(C102,Inventory!$A$5:$D$22,3,FALSE())</f>
        <v>School Supplies</v>
      </c>
      <c r="F102" s="19" t="n">
        <v>14</v>
      </c>
      <c r="G102" s="20" t="n">
        <f aca="false">VLOOKUP(C102,Inventory!$A$5:$D$22,4,FALSE())</f>
        <v>5.49</v>
      </c>
      <c r="H102" s="20" t="n">
        <f aca="false">F102*G102</f>
        <v>76.86</v>
      </c>
      <c r="I102" s="19" t="s">
        <v>93</v>
      </c>
    </row>
    <row r="103" customFormat="false" ht="15" hidden="false" customHeight="false" outlineLevel="0" collapsed="false">
      <c r="A103" s="37" t="n">
        <v>46181</v>
      </c>
      <c r="B103" s="22" t="str">
        <f aca="false">TEXT(A103,"mmm")</f>
        <v>Jun</v>
      </c>
      <c r="C103" s="22" t="s">
        <v>45</v>
      </c>
      <c r="D103" s="22" t="str">
        <f aca="false">VLOOKUP(C103,Inventory!$A$5:$D$22,2,FALSE())</f>
        <v>Wireless Mouse</v>
      </c>
      <c r="E103" s="22" t="str">
        <f aca="false">VLOOKUP(C103,Inventory!$A$5:$D$22,3,FALSE())</f>
        <v>Electronics &amp; Supplies</v>
      </c>
      <c r="F103" s="22" t="n">
        <v>16</v>
      </c>
      <c r="G103" s="23" t="n">
        <f aca="false">VLOOKUP(C103,Inventory!$A$5:$D$22,4,FALSE())</f>
        <v>18.49</v>
      </c>
      <c r="H103" s="23" t="n">
        <f aca="false">F103*G103</f>
        <v>295.84</v>
      </c>
      <c r="I103" s="22" t="s">
        <v>93</v>
      </c>
    </row>
    <row r="104" customFormat="false" ht="15" hidden="false" customHeight="false" outlineLevel="0" collapsed="false">
      <c r="A104" s="38" t="n">
        <v>46184</v>
      </c>
      <c r="B104" s="19" t="str">
        <f aca="false">TEXT(A104,"mmm")</f>
        <v>Jun</v>
      </c>
      <c r="C104" s="19" t="s">
        <v>38</v>
      </c>
      <c r="D104" s="19" t="str">
        <f aca="false">VLOOKUP(C104,Inventory!$A$5:$D$22,2,FALSE())</f>
        <v>Campus Store T-Shirt</v>
      </c>
      <c r="E104" s="19" t="str">
        <f aca="false">VLOOKUP(C104,Inventory!$A$5:$D$22,3,FALSE())</f>
        <v>Apparel &amp; Spirit Wear</v>
      </c>
      <c r="F104" s="19" t="n">
        <v>14</v>
      </c>
      <c r="G104" s="20" t="n">
        <f aca="false">VLOOKUP(C104,Inventory!$A$5:$D$22,4,FALSE())</f>
        <v>19.99</v>
      </c>
      <c r="H104" s="20" t="n">
        <f aca="false">F104*G104</f>
        <v>279.86</v>
      </c>
      <c r="I104" s="19" t="s">
        <v>93</v>
      </c>
    </row>
    <row r="105" customFormat="false" ht="15" hidden="false" customHeight="false" outlineLevel="0" collapsed="false">
      <c r="A105" s="37" t="n">
        <v>46184</v>
      </c>
      <c r="B105" s="22" t="str">
        <f aca="false">TEXT(A105,"mmm")</f>
        <v>Jun</v>
      </c>
      <c r="C105" s="22" t="s">
        <v>57</v>
      </c>
      <c r="D105" s="22" t="str">
        <f aca="false">VLOOKUP(C105,Inventory!$A$5:$D$22,2,FALSE())</f>
        <v>Mechanical Pencil Set</v>
      </c>
      <c r="E105" s="22" t="str">
        <f aca="false">VLOOKUP(C105,Inventory!$A$5:$D$22,3,FALSE())</f>
        <v>School Supplies</v>
      </c>
      <c r="F105" s="22" t="n">
        <v>4</v>
      </c>
      <c r="G105" s="23" t="n">
        <f aca="false">VLOOKUP(C105,Inventory!$A$5:$D$22,4,FALSE())</f>
        <v>6.49</v>
      </c>
      <c r="H105" s="23" t="n">
        <f aca="false">F105*G105</f>
        <v>25.96</v>
      </c>
      <c r="I105" s="22" t="s">
        <v>94</v>
      </c>
    </row>
    <row r="106" customFormat="false" ht="15" hidden="false" customHeight="false" outlineLevel="0" collapsed="false">
      <c r="A106" s="38" t="n">
        <v>46193</v>
      </c>
      <c r="B106" s="19" t="str">
        <f aca="false">TEXT(A106,"mmm")</f>
        <v>Jun</v>
      </c>
      <c r="C106" s="19" t="s">
        <v>53</v>
      </c>
      <c r="D106" s="19" t="str">
        <f aca="false">VLOOKUP(C106,Inventory!$A$5:$D$22,2,FALSE())</f>
        <v>Desk Lamp</v>
      </c>
      <c r="E106" s="19" t="str">
        <f aca="false">VLOOKUP(C106,Inventory!$A$5:$D$22,3,FALSE())</f>
        <v>Dorm Essentials</v>
      </c>
      <c r="F106" s="19" t="n">
        <v>1</v>
      </c>
      <c r="G106" s="20" t="n">
        <f aca="false">VLOOKUP(C106,Inventory!$A$5:$D$22,4,FALSE())</f>
        <v>21.99</v>
      </c>
      <c r="H106" s="20" t="n">
        <f aca="false">F106*G106</f>
        <v>21.99</v>
      </c>
      <c r="I106" s="19" t="s">
        <v>95</v>
      </c>
    </row>
    <row r="107" customFormat="false" ht="15" hidden="false" customHeight="false" outlineLevel="0" collapsed="false">
      <c r="A107" s="37" t="n">
        <v>46196</v>
      </c>
      <c r="B107" s="22" t="str">
        <f aca="false">TEXT(A107,"mmm")</f>
        <v>Jun</v>
      </c>
      <c r="C107" s="22" t="s">
        <v>38</v>
      </c>
      <c r="D107" s="22" t="str">
        <f aca="false">VLOOKUP(C107,Inventory!$A$5:$D$22,2,FALSE())</f>
        <v>Campus Store T-Shirt</v>
      </c>
      <c r="E107" s="22" t="str">
        <f aca="false">VLOOKUP(C107,Inventory!$A$5:$D$22,3,FALSE())</f>
        <v>Apparel &amp; Spirit Wear</v>
      </c>
      <c r="F107" s="22" t="n">
        <v>1</v>
      </c>
      <c r="G107" s="23" t="n">
        <f aca="false">VLOOKUP(C107,Inventory!$A$5:$D$22,4,FALSE())</f>
        <v>19.99</v>
      </c>
      <c r="H107" s="23" t="n">
        <f aca="false">F107*G107</f>
        <v>19.99</v>
      </c>
      <c r="I107" s="22" t="s">
        <v>92</v>
      </c>
    </row>
    <row r="108" customFormat="false" ht="15" hidden="false" customHeight="false" outlineLevel="0" collapsed="false">
      <c r="A108" s="38" t="n">
        <v>46178</v>
      </c>
      <c r="B108" s="19" t="str">
        <f aca="false">TEXT(A108,"mmm")</f>
        <v>Jun</v>
      </c>
      <c r="C108" s="19" t="s">
        <v>42</v>
      </c>
      <c r="D108" s="19" t="str">
        <f aca="false">VLOOKUP(C108,Inventory!$A$5:$D$22,2,FALSE())</f>
        <v>Scientific Calculator</v>
      </c>
      <c r="E108" s="19" t="str">
        <f aca="false">VLOOKUP(C108,Inventory!$A$5:$D$22,3,FALSE())</f>
        <v>Electronics &amp; Supplies</v>
      </c>
      <c r="F108" s="19" t="n">
        <v>8</v>
      </c>
      <c r="G108" s="20" t="n">
        <f aca="false">VLOOKUP(C108,Inventory!$A$5:$D$22,4,FALSE())</f>
        <v>24.99</v>
      </c>
      <c r="H108" s="20" t="n">
        <f aca="false">F108*G108</f>
        <v>199.92</v>
      </c>
      <c r="I108" s="19" t="s">
        <v>92</v>
      </c>
    </row>
    <row r="109" customFormat="false" ht="15" hidden="false" customHeight="false" outlineLevel="0" collapsed="false">
      <c r="A109" s="37" t="n">
        <v>46184</v>
      </c>
      <c r="B109" s="22" t="str">
        <f aca="false">TEXT(A109,"mmm")</f>
        <v>Jun</v>
      </c>
      <c r="C109" s="22" t="s">
        <v>49</v>
      </c>
      <c r="D109" s="22" t="str">
        <f aca="false">VLOOKUP(C109,Inventory!$A$5:$D$22,2,FALSE())</f>
        <v>Energy Drink 4pk</v>
      </c>
      <c r="E109" s="22" t="str">
        <f aca="false">VLOOKUP(C109,Inventory!$A$5:$D$22,3,FALSE())</f>
        <v>Dining &amp; Snacks</v>
      </c>
      <c r="F109" s="22" t="n">
        <v>12</v>
      </c>
      <c r="G109" s="23" t="n">
        <f aca="false">VLOOKUP(C109,Inventory!$A$5:$D$22,4,FALSE())</f>
        <v>7.99</v>
      </c>
      <c r="H109" s="23" t="n">
        <f aca="false">F109*G109</f>
        <v>95.88</v>
      </c>
      <c r="I109" s="22" t="s">
        <v>94</v>
      </c>
    </row>
    <row r="110" customFormat="false" ht="15" hidden="false" customHeight="false" outlineLevel="0" collapsed="false">
      <c r="A110" s="38" t="n">
        <v>46177</v>
      </c>
      <c r="B110" s="19" t="str">
        <f aca="false">TEXT(A110,"mmm")</f>
        <v>Jun</v>
      </c>
      <c r="C110" s="19" t="s">
        <v>55</v>
      </c>
      <c r="D110" s="19" t="str">
        <f aca="false">VLOOKUP(C110,Inventory!$A$5:$D$22,2,FALSE())</f>
        <v>Spiral Notebook 5pk</v>
      </c>
      <c r="E110" s="19" t="str">
        <f aca="false">VLOOKUP(C110,Inventory!$A$5:$D$22,3,FALSE())</f>
        <v>School Supplies</v>
      </c>
      <c r="F110" s="19" t="n">
        <v>16</v>
      </c>
      <c r="G110" s="20" t="n">
        <f aca="false">VLOOKUP(C110,Inventory!$A$5:$D$22,4,FALSE())</f>
        <v>9.99</v>
      </c>
      <c r="H110" s="20" t="n">
        <f aca="false">F110*G110</f>
        <v>159.84</v>
      </c>
      <c r="I110" s="19" t="s">
        <v>92</v>
      </c>
    </row>
    <row r="111" customFormat="false" ht="15" hidden="false" customHeight="false" outlineLevel="0" collapsed="false">
      <c r="A111" s="37" t="n">
        <v>46193</v>
      </c>
      <c r="B111" s="22" t="str">
        <f aca="false">TEXT(A111,"mmm")</f>
        <v>Jun</v>
      </c>
      <c r="C111" s="22" t="s">
        <v>57</v>
      </c>
      <c r="D111" s="22" t="str">
        <f aca="false">VLOOKUP(C111,Inventory!$A$5:$D$22,2,FALSE())</f>
        <v>Mechanical Pencil Set</v>
      </c>
      <c r="E111" s="22" t="str">
        <f aca="false">VLOOKUP(C111,Inventory!$A$5:$D$22,3,FALSE())</f>
        <v>School Supplies</v>
      </c>
      <c r="F111" s="22" t="n">
        <v>9</v>
      </c>
      <c r="G111" s="23" t="n">
        <f aca="false">VLOOKUP(C111,Inventory!$A$5:$D$22,4,FALSE())</f>
        <v>6.49</v>
      </c>
      <c r="H111" s="23" t="n">
        <f aca="false">F111*G111</f>
        <v>58.41</v>
      </c>
      <c r="I111" s="22" t="s">
        <v>94</v>
      </c>
    </row>
  </sheetData>
  <mergeCells count="2">
    <mergeCell ref="A1:I1"/>
    <mergeCell ref="A2:I2"/>
  </mergeCells>
  <conditionalFormatting sqref="H5:H111">
    <cfRule type="colorScale" priority="2">
      <colorScale>
        <cfvo type="min" val="0"/>
        <cfvo type="max" val="0"/>
        <color rgb="FFFFFFFF"/>
        <color rgb="FF2C549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2026-07-03T04:32:34Z</dcterms:created>
  <dc:creator>openpyxl</dc:creator>
  <dc:description/>
  <dc:language>en-US</dc:language>
  <cp:lastModifiedBy/>
  <dcterms:modified xsi:type="dcterms:W3CDTF">2026-07-03T04:32:39Z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